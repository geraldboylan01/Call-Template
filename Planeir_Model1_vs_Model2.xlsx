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 &amp; Verdict" sheetId="1" state="visible" r:id="rId3"/>
    <sheet name="Model 2 — Lead-Gen" sheetId="2" state="visible" r:id="rId4"/>
    <sheet name="Model 1 — Adviser SaaS" sheetId="3" state="visible" r:id="rId5"/>
    <sheet name="Side-by-Side" sheetId="4" state="visible" r:id="rId6"/>
    <sheet name="Engine 1 — White-Label" sheetId="5" state="visible" r:id="rId7"/>
    <sheet name="Blended Pla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<sst xmlns="http://schemas.openxmlformats.org/spreadsheetml/2006/main" count="141" uniqueCount="130">
  <si>
    <t xml:space="preserve">Model 1 vs Model 2 — where the value lies</t>
  </si>
  <si>
    <t xml:space="preserve">Adviser time-saving SaaS versus a consumer AI-education funnel monetised by consented adviser referrals (+ minor ads). Assessed for venture-scale ambition. Blue = editable input.</t>
  </si>
  <si>
    <t xml:space="preserve">Verdict</t>
  </si>
  <si>
    <t xml:space="preserve">For venture scale, Model 2 is the stronger shape.</t>
  </si>
  <si>
    <t xml:space="preserve">•</t>
  </si>
  <si>
    <t xml:space="preserve">Why: it has venture precedent (SmartAsset reached unicorn status on this exact model; NerdWallet IPO'd; Credit Karma sold to Intuit for $7.1bn), it is geography-portable, it builds a data + brand + network moat rather than renting one, it uses your education strength, and it is lighter-touch on regulation (guidance, not automated advice).</t>
  </si>
  <si>
    <t xml:space="preserve">Correction 1 — it is a LEADS business, not an ADS business. A consented, pre-qualified advice lead is worth €40–150 (UK) or $25–680 (US, by assets). Ads only pay at NerdWallet-scale traffic. In every scenario on the next sheet, referral fees dwarf ad revenue ~5:1 or more. Don't position it as ad-funded.</t>
  </si>
  <si>
    <t xml:space="preserve">Correction 2 — build it as a CONSENTED WARM INTRODUCTION, not 'selling data'. That distinction is the difference between a fundable marketplace (SmartAsset/Unbiased) and a GDPR/reputation liability. The consumer chooses to be connected; that consent is the product.</t>
  </si>
  <si>
    <t xml:space="preserve">Model 1 is not dead — it becomes the downstream upsell: once you own the consumer funnel and the advisers paying for your leads, you sell those same advisers tools. That stack (consumer acquisition → lead marketplace → adviser SaaS) is a far stronger venture narrative than either piece alone.</t>
  </si>
  <si>
    <t xml:space="preserve">The real risk in Model 2 is consumer acquisition cost / marketplace cold-start. Your unfair advantage on precisely that risk is organic education content + the auto-enrolment SEO wave + a QFA's trust. That is the one place your edge attacks the hardest problem.</t>
  </si>
  <si>
    <t xml:space="preserve">The honest catch</t>
  </si>
  <si>
    <t xml:space="preserve">Model 2 has the higher ceiling AND the higher execution risk. Model 1 is lower-risk recurring SaaS but lower-ceiling and you're poorly positioned against funded incumbents. Given you're swinging for scale, the risk is the price of admission — but the plan must attack CAC deliberately, or it stalls like most consumer fintech.</t>
  </si>
  <si>
    <t xml:space="preserve">Model 2 — consumer AI education → consented referrals</t>
  </si>
  <si>
    <t xml:space="preserve">Funnel: visitors → complete an AI planning chat → a share consent to a warm adviser intro (sold as a qualified lead). Ads/affiliate are secondary. Blue = input, yellow = key lever.</t>
  </si>
  <si>
    <t xml:space="preserve">Shared assumptions</t>
  </si>
  <si>
    <t xml:space="preserve">Visitor → completed AI chat (engagement)</t>
  </si>
  <si>
    <t xml:space="preserve">Generous; most content converts far lower</t>
  </si>
  <si>
    <t xml:space="preserve">Completed chat → consents to adviser intro</t>
  </si>
  <si>
    <t xml:space="preserve">Of engaged users, share opting to be connected</t>
  </si>
  <si>
    <t xml:space="preserve">Revenue per consented qualified lead (€)</t>
  </si>
  <si>
    <t xml:space="preserve">UK avg ~£65; US $25–680 by assets. Exclusive+pre-qualified = premium</t>
  </si>
  <si>
    <t xml:space="preserve">Ad + affiliate revenue per visitor / yr (€)</t>
  </si>
  <si>
    <t xml:space="preserve">Blended RPM; finance CPMs are high but need volume</t>
  </si>
  <si>
    <t xml:space="preserve">Scenarios</t>
  </si>
  <si>
    <t xml:space="preserve">Annual unique visitors →</t>
  </si>
  <si>
    <t xml:space="preserve">Beachhead (IE)</t>
  </si>
  <si>
    <t xml:space="preserve">Scaled (UK/EU)</t>
  </si>
  <si>
    <t xml:space="preserve">Ambitious</t>
  </si>
  <si>
    <t xml:space="preserve">Unique visitors / year</t>
  </si>
  <si>
    <t xml:space="preserve">Completed AI chats</t>
  </si>
  <si>
    <t xml:space="preserve">Consented qualified leads</t>
  </si>
  <si>
    <t xml:space="preserve">Lead / referral revenue</t>
  </si>
  <si>
    <t xml:space="preserve">Ad + affiliate revenue</t>
  </si>
  <si>
    <t xml:space="preserve">Total revenue</t>
  </si>
  <si>
    <t xml:space="preserve">Share from referrals (not ads)</t>
  </si>
  <si>
    <t xml:space="preserve">← leads dominate; ads are a minor layer</t>
  </si>
  <si>
    <t xml:space="preserve">Reading: even with a generous ad RPM, referral fees are ~5x ad revenue or more. The consented lead is the product; the AI chat exists to qualify it.</t>
  </si>
  <si>
    <t xml:space="preserve">Model 1 — save adviser time, at venture scale</t>
  </si>
  <si>
    <t xml:space="preserve">Recurring SaaS: cleaner revenue, but the ceiling is seats × price, and you're late against funded incumbents (Aveni, AdvisoryAI). This shows the penetration each ARR target demands.</t>
  </si>
  <si>
    <t xml:space="preserve">Inputs</t>
  </si>
  <si>
    <t xml:space="preserve">Price per adviser seat / year (€)</t>
  </si>
  <si>
    <t xml:space="preserve">Repriced from €2,400 to give buyers real ROI</t>
  </si>
  <si>
    <t xml:space="preserve">UK retail adviser posts (denominator)</t>
  </si>
  <si>
    <t xml:space="preserve">FCA 2024 retail intermediary data</t>
  </si>
  <si>
    <t xml:space="preserve">Ireland adviser seats (narrow)</t>
  </si>
  <si>
    <t xml:space="preserve">FPSB holistic planners</t>
  </si>
  <si>
    <t xml:space="preserve">Seats &amp; market penetration required for each ARR target</t>
  </si>
  <si>
    <t xml:space="preserve">Target ARR</t>
  </si>
  <si>
    <t xml:space="preserve">Seats needed</t>
  </si>
  <si>
    <t xml:space="preserve">% of UK adviser base</t>
  </si>
  <si>
    <t xml:space="preserve">Reality check</t>
  </si>
  <si>
    <t xml:space="preserve">Feasible niche</t>
  </si>
  <si>
    <t xml:space="preserve">Hard but possible</t>
  </si>
  <si>
    <t xml:space="preserve">Very hard vs incumbents</t>
  </si>
  <si>
    <t xml:space="preserve">Implausible solo/IE-based</t>
  </si>
  <si>
    <t xml:space="preserve">Pro: recurring, higher retention, predictable. Con: to reach venture-scale ARR you must win double-digit % of a market owned by better-funded incumbents — the slow, expensive way.</t>
  </si>
  <si>
    <t xml:space="preserve">Side-by-side + the combined play</t>
  </si>
  <si>
    <t xml:space="preserve">Model 1 — Adviser SaaS</t>
  </si>
  <si>
    <t xml:space="preserve">Model 2 — Consumer lead-gen</t>
  </si>
  <si>
    <t xml:space="preserve">What you sell</t>
  </si>
  <si>
    <t xml:space="preserve">Time saved on fact-find/suitability admin</t>
  </si>
  <si>
    <t xml:space="preserve">Consented, pre-qualified adviser introductions</t>
  </si>
  <si>
    <t xml:space="preserve">Who pays</t>
  </si>
  <si>
    <t xml:space="preserve">Adviser firms (subscription)</t>
  </si>
  <si>
    <t xml:space="preserve">Advisers pay per lead; consumers free; minor ads</t>
  </si>
  <si>
    <t xml:space="preserve">TAM shape</t>
  </si>
  <si>
    <t xml:space="preserve">Seats × price (bounded)</t>
  </si>
  <si>
    <t xml:space="preserve">Consumers × lead value (large, portable)</t>
  </si>
  <si>
    <t xml:space="preserve">Defensibility</t>
  </si>
  <si>
    <t xml:space="preserve">Low — incumbents + CRM integration moat</t>
  </si>
  <si>
    <t xml:space="preserve">Medium-high — data, brand, two-sided network</t>
  </si>
  <si>
    <t xml:space="preserve">Your edge used?</t>
  </si>
  <si>
    <t xml:space="preserve">Weakly (generic admin)</t>
  </si>
  <si>
    <t xml:space="preserve">Strongly (education, visuals, Irish trust)</t>
  </si>
  <si>
    <t xml:space="preserve">Regulatory load</t>
  </si>
  <si>
    <t xml:space="preserve">Copilot OK, but suitability liability nearby</t>
  </si>
  <si>
    <t xml:space="preserve">Lighter — guidance/education; consent is key</t>
  </si>
  <si>
    <t xml:space="preserve">Main risk</t>
  </si>
  <si>
    <t xml:space="preserve">Losing to funded incumbents; slow B2B sales</t>
  </si>
  <si>
    <t xml:space="preserve">Consumer CAC / marketplace cold-start</t>
  </si>
  <si>
    <t xml:space="preserve">Venture precedent</t>
  </si>
  <si>
    <t xml:space="preserve">Aveni (raised, but you're behind)</t>
  </si>
  <si>
    <t xml:space="preserve">SmartAsset (unicorn), NerdWallet, Credit Karma</t>
  </si>
  <si>
    <t xml:space="preserve">Revenue quality</t>
  </si>
  <si>
    <t xml:space="preserve">Recurring, sticky</t>
  </si>
  <si>
    <t xml:space="preserve">Transactional, but scales + affiliate upside</t>
  </si>
  <si>
    <t xml:space="preserve">Verdict for scale</t>
  </si>
  <si>
    <t xml:space="preserve">Downstream upsell, not the spearhead</t>
  </si>
  <si>
    <t xml:space="preserve">Lead here</t>
  </si>
  <si>
    <t xml:space="preserve">The combined venture narrative (recommended)</t>
  </si>
  <si>
    <t xml:space="preserve">Own the consumer relationship and the data with Model 2, then monetise the advisers in your network three ways: (1) per-lead referrals, (2) affiliate/commission on products they place, (3) later, Model 1 tools sold to those same advisers. Each layer raises revenue per adviser and deepens the moat. That is the NerdWallet/Credit Karma playbook, localised to Irish advice and timed to auto-enrolment.</t>
  </si>
  <si>
    <t xml:space="preserve">Benchmarks used</t>
  </si>
  <si>
    <t xml:space="preserve">SmartAsset: pay-per-lead $25–680 (by investable assets); now ~$25k/yr for 240–312 leads (~$80–100/lead); 89,000+ referrals delivered; avg ~$986k AUM/lead.</t>
  </si>
  <si>
    <t xml:space="preserve">UK: Unbiased ~£65+VAT avg/lead (£87/mo + £43+/lead); shared leads £30–150; VouchedFor £60/mo directory.</t>
  </si>
  <si>
    <t xml:space="preserve">Venture outcomes: SmartAsset ~$1bn+ valuation; NerdWallet IPO; Credit Karma acquired by Intuit for $7.1bn — all consumer-finance funnels monetised via provider referrals.</t>
  </si>
  <si>
    <t xml:space="preserve">Engine 1 — white-label API for advisers (early revenue)</t>
  </si>
  <si>
    <t xml:space="preserve">Advisers embed your branded AI planning chat + Irish-tax visuals on their own site. It converts their traffic into qualified, pre-filled leads. Recurring B2B cash with no consumer CAC — live in months. Benchmarked to Planswell ($450+/mo, one adviser per lead, completed plan included).</t>
  </si>
  <si>
    <t xml:space="preserve">Subscription per firm / month (€)</t>
  </si>
  <si>
    <t xml:space="preserve">Planswell ~$450; adviser software £75–200. Mid = defensible</t>
  </si>
  <si>
    <t xml:space="preserve">One-off setup / onboarding fee (€)</t>
  </si>
  <si>
    <t xml:space="preserve">Optional; aids cashflow + commitment</t>
  </si>
  <si>
    <t xml:space="preserve">Leads generated per firm / year (value proof)</t>
  </si>
  <si>
    <t xml:space="preserve">Justifies price: 40 leads worth £65+ each &gt;&gt; €3,600/yr sub</t>
  </si>
  <si>
    <t xml:space="preserve">Revenue by phase</t>
  </si>
  <si>
    <t xml:space="preserve">Year 1 (design partners)</t>
  </si>
  <si>
    <t xml:space="preserve">Year 2 (Irish scale)</t>
  </si>
  <si>
    <t xml:space="preserve">Year 3 (UK entry)</t>
  </si>
  <si>
    <t xml:space="preserve">Paying firms</t>
  </si>
  <si>
    <t xml:space="preserve">MRR (subscriptions)</t>
  </si>
  <si>
    <t xml:space="preserve">Annual recurring revenue</t>
  </si>
  <si>
    <t xml:space="preserve">+ setup fees (new firms, indic.)</t>
  </si>
  <si>
    <t xml:space="preserve">Why it's the easy first revenue: contracted, recurring, sold to an audience you already know (Brokers Ireland), no consumer CAC, and it seeds your future lead-buyers + training data.</t>
  </si>
  <si>
    <t xml:space="preserve">Blended plan — two engines, mix shifts to consumer</t>
  </si>
  <si>
    <t xml:space="preserve">Engine 1 (white-label) is the reliable, no-CAC cash floor that funds the build. Engine 2 (consumer funnel) is CAC-contingent but is where scale and enterprise value come from. Rates pull from the 'Model 2 — Lead-Gen' sheet.</t>
  </si>
  <si>
    <t xml:space="preserve">Year 1</t>
  </si>
  <si>
    <t xml:space="preserve">Year 2</t>
  </si>
  <si>
    <t xml:space="preserve">Year 3</t>
  </si>
  <si>
    <t xml:space="preserve">Engine 1: paying firms</t>
  </si>
  <si>
    <t xml:space="preserve">Engine 1 revenue (white-label)</t>
  </si>
  <si>
    <t xml:space="preserve">Engine 2: consumer visitors / yr</t>
  </si>
  <si>
    <t xml:space="preserve">  consented leads</t>
  </si>
  <si>
    <t xml:space="preserve">  lead / referral revenue</t>
  </si>
  <si>
    <t xml:space="preserve">  ad + affiliate revenue</t>
  </si>
  <si>
    <t xml:space="preserve">Engine 2 revenue (consumer)</t>
  </si>
  <si>
    <t xml:space="preserve">TOTAL REVENUE</t>
  </si>
  <si>
    <t xml:space="preserve">Engine 1 share (de-risked B2B)</t>
  </si>
  <si>
    <t xml:space="preserve">What each phase must prove (for the next raise)</t>
  </si>
  <si>
    <t xml:space="preserve">White-label live with 10 design-partner firms + renewals; consumer content engine ranking on auto-enrolment terms; blended CAC &lt; lead value. Fund via Enterprise Ireland HPSU + angels.</t>
  </si>
  <si>
    <t xml:space="preserve">Repeatable, cheap consumer acquisition (organic majority) + first employer/provider distribution deal; marketplace lead-quality proof (lead→appointment→client). Raise seed.</t>
  </si>
  <si>
    <t xml:space="preserve">UK entry for both engines; marketplace liquidity + net revenue retention on white-label; consumer scale to 1M+ visitors. Raise Series A on consumer growth + data moat.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</si>
</sst>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€#,##0;&quot;(€&quot;#,##0\);\-"/>
    <numFmt numFmtId="167" formatCode="\€#,##0.00"/>
    <numFmt numFmtId="168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40404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60"/>
  </cols>
  <sheetData>
    <row r="2" customFormat="false" ht="16.15" hidden="false" customHeight="false" outlineLevel="0" collapsed="false">
      <c r="B2" s="1" t="s">
        <v>0</v>
      </c>
    </row>
    <row r="3" customFormat="false" ht="39.75" hidden="false" customHeight="tru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  <c r="C5" s="3"/>
    </row>
    <row r="6" customFormat="false" ht="15" hidden="false" customHeight="false" outlineLevel="0" collapsed="false">
      <c r="B6" s="4" t="s">
        <v>3</v>
      </c>
      <c r="C6" s="4"/>
    </row>
    <row r="7" customFormat="false" ht="45.75" hidden="false" customHeight="true" outlineLevel="0" collapsed="false">
      <c r="B7" s="5" t="s">
        <v>4</v>
      </c>
      <c r="C7" s="6" t="s">
        <v>5</v>
      </c>
    </row>
    <row r="8" customFormat="false" ht="45.75" hidden="false" customHeight="true" outlineLevel="0" collapsed="false">
      <c r="B8" s="5" t="s">
        <v>4</v>
      </c>
      <c r="C8" s="6" t="s">
        <v>6</v>
      </c>
    </row>
    <row r="9" customFormat="false" ht="45.75" hidden="false" customHeight="true" outlineLevel="0" collapsed="false">
      <c r="B9" s="5" t="s">
        <v>4</v>
      </c>
      <c r="C9" s="6" t="s">
        <v>7</v>
      </c>
    </row>
    <row r="10" customFormat="false" ht="45.75" hidden="false" customHeight="true" outlineLevel="0" collapsed="false">
      <c r="B10" s="5" t="s">
        <v>4</v>
      </c>
      <c r="C10" s="6" t="s">
        <v>8</v>
      </c>
    </row>
    <row r="11" customFormat="false" ht="45.75" hidden="false" customHeight="true" outlineLevel="0" collapsed="false">
      <c r="B11" s="5" t="s">
        <v>4</v>
      </c>
      <c r="C11" s="6" t="s">
        <v>9</v>
      </c>
    </row>
    <row r="13" customFormat="false" ht="15" hidden="false" customHeight="false" outlineLevel="0" collapsed="false">
      <c r="B13" s="3" t="s">
        <v>10</v>
      </c>
      <c r="C13" s="3"/>
    </row>
    <row r="14" customFormat="false" ht="60" hidden="false" customHeight="true" outlineLevel="0" collapsed="false">
      <c r="B14" s="7" t="s">
        <v>11</v>
      </c>
      <c r="C14" s="7"/>
    </row>
    <row r="15" customFormat="false" ht="15" hidden="false" customHeight="false" outlineLevel="0" collapsed="false">
      <c r="B15" s="7"/>
      <c r="C15" s="7"/>
    </row>
    <row r="16" customFormat="false" ht="15" hidden="false" customHeight="false" outlineLevel="0" collapsed="false">
      <c r="B16" s="7"/>
      <c r="C16" s="7"/>
    </row>
  </sheetData>
  <mergeCells count="3">
    <mergeCell ref="B3:C3"/>
    <mergeCell ref="B6:C6"/>
    <mergeCell ref="B14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6"/>
    <col collapsed="false" customWidth="true" hidden="false" outlineLevel="0" max="6" min="6" style="0" width="20"/>
  </cols>
  <sheetData>
    <row r="2" customFormat="false" ht="16.15" hidden="false" customHeight="false" outlineLevel="0" collapsed="false">
      <c r="B2" s="1" t="s">
        <v>12</v>
      </c>
    </row>
    <row r="3" customFormat="false" ht="33.75" hidden="false" customHeight="true" outlineLevel="0" collapsed="false">
      <c r="B3" s="2" t="s">
        <v>13</v>
      </c>
      <c r="C3" s="2"/>
      <c r="D3" s="2"/>
      <c r="E3" s="2"/>
      <c r="F3" s="2"/>
    </row>
    <row r="5" customFormat="false" ht="15" hidden="false" customHeight="false" outlineLevel="0" collapsed="false">
      <c r="B5" s="3" t="s">
        <v>14</v>
      </c>
      <c r="C5" s="3"/>
      <c r="D5" s="3"/>
      <c r="E5" s="3"/>
      <c r="F5" s="3"/>
    </row>
    <row r="6" customFormat="false" ht="15" hidden="false" customHeight="false" outlineLevel="0" collapsed="false">
      <c r="B6" s="8" t="s">
        <v>15</v>
      </c>
      <c r="C6" s="9" t="n">
        <v>0.15</v>
      </c>
      <c r="E6" s="10" t="s">
        <v>16</v>
      </c>
      <c r="F6" s="10"/>
    </row>
    <row r="7" customFormat="false" ht="15" hidden="false" customHeight="false" outlineLevel="0" collapsed="false">
      <c r="B7" s="8" t="s">
        <v>17</v>
      </c>
      <c r="C7" s="9" t="n">
        <v>0.2</v>
      </c>
      <c r="E7" s="10" t="s">
        <v>18</v>
      </c>
      <c r="F7" s="10"/>
    </row>
    <row r="8" customFormat="false" ht="15" hidden="false" customHeight="false" outlineLevel="0" collapsed="false">
      <c r="B8" s="8" t="s">
        <v>19</v>
      </c>
      <c r="C8" s="11" t="n">
        <v>80</v>
      </c>
      <c r="E8" s="10" t="s">
        <v>20</v>
      </c>
      <c r="F8" s="10"/>
    </row>
    <row r="9" customFormat="false" ht="15" hidden="false" customHeight="false" outlineLevel="0" collapsed="false">
      <c r="B9" s="12" t="s">
        <v>21</v>
      </c>
      <c r="C9" s="13" t="n">
        <v>0.5</v>
      </c>
      <c r="E9" s="10" t="s">
        <v>22</v>
      </c>
      <c r="F9" s="10"/>
    </row>
    <row r="11" customFormat="false" ht="15" hidden="false" customHeight="false" outlineLevel="0" collapsed="false">
      <c r="B11" s="3" t="s">
        <v>23</v>
      </c>
      <c r="C11" s="3"/>
      <c r="D11" s="3"/>
      <c r="E11" s="3"/>
      <c r="F11" s="3"/>
    </row>
    <row r="12" customFormat="false" ht="25.5" hidden="false" customHeight="true" outlineLevel="0" collapsed="false">
      <c r="B12" s="14" t="s">
        <v>24</v>
      </c>
      <c r="C12" s="15" t="s">
        <v>25</v>
      </c>
      <c r="D12" s="15" t="s">
        <v>26</v>
      </c>
      <c r="E12" s="15" t="s">
        <v>27</v>
      </c>
    </row>
    <row r="13" customFormat="false" ht="15" hidden="false" customHeight="false" outlineLevel="0" collapsed="false">
      <c r="B13" s="16" t="s">
        <v>28</v>
      </c>
      <c r="C13" s="17" t="n">
        <v>100000</v>
      </c>
      <c r="D13" s="17" t="n">
        <v>1000000</v>
      </c>
      <c r="E13" s="17" t="n">
        <v>4000000</v>
      </c>
    </row>
    <row r="14" customFormat="false" ht="15" hidden="false" customHeight="false" outlineLevel="0" collapsed="false">
      <c r="B14" s="16" t="s">
        <v>29</v>
      </c>
      <c r="C14" s="18" t="n">
        <f aca="false">C13*C6</f>
        <v>15000</v>
      </c>
      <c r="D14" s="18" t="n">
        <f aca="false">D13*C6</f>
        <v>150000</v>
      </c>
      <c r="E14" s="18" t="n">
        <f aca="false">E13*C6</f>
        <v>600000</v>
      </c>
    </row>
    <row r="15" customFormat="false" ht="15" hidden="false" customHeight="false" outlineLevel="0" collapsed="false">
      <c r="B15" s="16" t="s">
        <v>30</v>
      </c>
      <c r="C15" s="18" t="n">
        <f aca="false">C13*C6*C7</f>
        <v>3000</v>
      </c>
      <c r="D15" s="18" t="n">
        <f aca="false">D13*C6*C7</f>
        <v>30000</v>
      </c>
      <c r="E15" s="18" t="n">
        <f aca="false">E13*C6*C7</f>
        <v>120000</v>
      </c>
    </row>
    <row r="16" customFormat="false" ht="15" hidden="false" customHeight="false" outlineLevel="0" collapsed="false">
      <c r="B16" s="19" t="s">
        <v>31</v>
      </c>
      <c r="C16" s="20" t="n">
        <f aca="false">C13*C6*C7*C8</f>
        <v>240000</v>
      </c>
      <c r="D16" s="20" t="n">
        <f aca="false">D13*C6*C7*C8</f>
        <v>2400000</v>
      </c>
      <c r="E16" s="20" t="n">
        <f aca="false">E13*C6*C7*C8</f>
        <v>9600000</v>
      </c>
    </row>
    <row r="17" customFormat="false" ht="15" hidden="false" customHeight="false" outlineLevel="0" collapsed="false">
      <c r="B17" s="16" t="s">
        <v>32</v>
      </c>
      <c r="C17" s="21" t="n">
        <f aca="false">C13*C9</f>
        <v>50000</v>
      </c>
      <c r="D17" s="21" t="n">
        <f aca="false">D13*C9</f>
        <v>500000</v>
      </c>
      <c r="E17" s="21" t="n">
        <f aca="false">E13*C9</f>
        <v>2000000</v>
      </c>
    </row>
    <row r="18" customFormat="false" ht="15" hidden="false" customHeight="false" outlineLevel="0" collapsed="false">
      <c r="B18" s="22" t="s">
        <v>33</v>
      </c>
      <c r="C18" s="23" t="n">
        <f aca="false">C16+C17</f>
        <v>290000</v>
      </c>
      <c r="D18" s="23" t="n">
        <f aca="false">D16+D17</f>
        <v>2900000</v>
      </c>
      <c r="E18" s="23" t="n">
        <f aca="false">E16+E17</f>
        <v>11600000</v>
      </c>
    </row>
    <row r="19" customFormat="false" ht="15" hidden="false" customHeight="false" outlineLevel="0" collapsed="false">
      <c r="B19" s="16" t="s">
        <v>34</v>
      </c>
      <c r="C19" s="24" t="n">
        <f aca="false">C16/C18</f>
        <v>0.827586206896552</v>
      </c>
      <c r="D19" s="24" t="n">
        <f aca="false">D16/D18</f>
        <v>0.827586206896552</v>
      </c>
      <c r="E19" s="24" t="n">
        <f aca="false">E16/E18</f>
        <v>0.827586206896552</v>
      </c>
      <c r="F19" s="25" t="s">
        <v>35</v>
      </c>
    </row>
    <row r="20" customFormat="false" ht="30" hidden="false" customHeight="true" outlineLevel="0" collapsed="false">
      <c r="B20" s="26" t="s">
        <v>36</v>
      </c>
      <c r="C20" s="26"/>
      <c r="D20" s="26"/>
      <c r="E20" s="26"/>
      <c r="F20" s="26"/>
    </row>
    <row r="21" customFormat="false" ht="15" hidden="false" customHeight="false" outlineLevel="0" collapsed="false">
      <c r="B21" s="26"/>
      <c r="C21" s="26"/>
      <c r="D21" s="26"/>
      <c r="E21" s="26"/>
      <c r="F21" s="26"/>
    </row>
  </sheetData>
  <mergeCells count="6">
    <mergeCell ref="B3:F3"/>
    <mergeCell ref="E6:F6"/>
    <mergeCell ref="E7:F7"/>
    <mergeCell ref="E8:F8"/>
    <mergeCell ref="E9:F9"/>
    <mergeCell ref="B20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24"/>
  </cols>
  <sheetData>
    <row r="2" customFormat="false" ht="16.15" hidden="false" customHeight="false" outlineLevel="0" collapsed="false">
      <c r="B2" s="1" t="s">
        <v>37</v>
      </c>
    </row>
    <row r="3" customFormat="false" ht="33.75" hidden="false" customHeight="true" outlineLevel="0" collapsed="false">
      <c r="B3" s="2" t="s">
        <v>38</v>
      </c>
      <c r="C3" s="2"/>
      <c r="D3" s="2"/>
      <c r="E3" s="2"/>
    </row>
    <row r="5" customFormat="false" ht="15" hidden="false" customHeight="false" outlineLevel="0" collapsed="false">
      <c r="B5" s="3" t="s">
        <v>39</v>
      </c>
    </row>
    <row r="6" customFormat="false" ht="15" hidden="false" customHeight="false" outlineLevel="0" collapsed="false">
      <c r="B6" s="12" t="s">
        <v>40</v>
      </c>
      <c r="C6" s="27" t="n">
        <v>1200</v>
      </c>
      <c r="E6" s="25" t="s">
        <v>41</v>
      </c>
    </row>
    <row r="7" customFormat="false" ht="15" hidden="false" customHeight="false" outlineLevel="0" collapsed="false">
      <c r="B7" s="12" t="s">
        <v>42</v>
      </c>
      <c r="C7" s="28" t="n">
        <v>37441</v>
      </c>
      <c r="E7" s="25" t="s">
        <v>43</v>
      </c>
    </row>
    <row r="8" customFormat="false" ht="15" hidden="false" customHeight="false" outlineLevel="0" collapsed="false">
      <c r="B8" s="12" t="s">
        <v>44</v>
      </c>
      <c r="C8" s="28" t="n">
        <v>1061</v>
      </c>
      <c r="E8" s="25" t="s">
        <v>45</v>
      </c>
    </row>
    <row r="10" customFormat="false" ht="15" hidden="false" customHeight="false" outlineLevel="0" collapsed="false">
      <c r="B10" s="3" t="s">
        <v>46</v>
      </c>
      <c r="C10" s="3"/>
      <c r="D10" s="3"/>
      <c r="E10" s="3"/>
    </row>
    <row r="11" customFormat="false" ht="27.75" hidden="false" customHeight="true" outlineLevel="0" collapsed="false">
      <c r="B11" s="14" t="s">
        <v>47</v>
      </c>
      <c r="C11" s="15" t="s">
        <v>48</v>
      </c>
      <c r="D11" s="15" t="s">
        <v>49</v>
      </c>
      <c r="E11" s="15" t="s">
        <v>50</v>
      </c>
    </row>
    <row r="12" customFormat="false" ht="15" hidden="false" customHeight="false" outlineLevel="0" collapsed="false">
      <c r="B12" s="29" t="n">
        <v>500000</v>
      </c>
      <c r="C12" s="30" t="n">
        <f aca="false">B12/C6</f>
        <v>416.666666666667</v>
      </c>
      <c r="D12" s="31" t="n">
        <f aca="false">(B12/C6)/C7</f>
        <v>0.0111286201401316</v>
      </c>
      <c r="E12" s="32" t="s">
        <v>51</v>
      </c>
    </row>
    <row r="13" customFormat="false" ht="15" hidden="false" customHeight="false" outlineLevel="0" collapsed="false">
      <c r="B13" s="29" t="n">
        <v>2000000</v>
      </c>
      <c r="C13" s="30" t="n">
        <f aca="false">B13/C6</f>
        <v>1666.66666666667</v>
      </c>
      <c r="D13" s="31" t="n">
        <f aca="false">(B13/C6)/C7</f>
        <v>0.0445144805605263</v>
      </c>
      <c r="E13" s="33" t="s">
        <v>52</v>
      </c>
    </row>
    <row r="14" customFormat="false" ht="15" hidden="false" customHeight="false" outlineLevel="0" collapsed="false">
      <c r="B14" s="29" t="n">
        <v>5000000</v>
      </c>
      <c r="C14" s="30" t="n">
        <f aca="false">B14/C6</f>
        <v>4166.66666666667</v>
      </c>
      <c r="D14" s="31" t="n">
        <f aca="false">(B14/C6)/C7</f>
        <v>0.111286201401316</v>
      </c>
      <c r="E14" s="34" t="s">
        <v>53</v>
      </c>
    </row>
    <row r="15" customFormat="false" ht="15" hidden="false" customHeight="false" outlineLevel="0" collapsed="false">
      <c r="B15" s="29" t="n">
        <v>10000000</v>
      </c>
      <c r="C15" s="30" t="n">
        <f aca="false">B15/C6</f>
        <v>8333.33333333333</v>
      </c>
      <c r="D15" s="31" t="n">
        <f aca="false">(B15/C6)/C7</f>
        <v>0.222572402802632</v>
      </c>
      <c r="E15" s="34" t="s">
        <v>54</v>
      </c>
    </row>
    <row r="16" customFormat="false" ht="30" hidden="false" customHeight="true" outlineLevel="0" collapsed="false">
      <c r="B16" s="26" t="s">
        <v>55</v>
      </c>
      <c r="C16" s="26"/>
      <c r="D16" s="26"/>
      <c r="E16" s="26"/>
    </row>
    <row r="17" customFormat="false" ht="15" hidden="false" customHeight="false" outlineLevel="0" collapsed="false">
      <c r="B17" s="26"/>
      <c r="C17" s="26"/>
      <c r="D17" s="26"/>
      <c r="E17" s="26"/>
    </row>
  </sheetData>
  <mergeCells count="2">
    <mergeCell ref="B3:E3"/>
    <mergeCell ref="B16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4" min="3" style="0" width="30"/>
  </cols>
  <sheetData>
    <row r="2" customFormat="false" ht="16.15" hidden="false" customHeight="false" outlineLevel="0" collapsed="false">
      <c r="B2" s="1" t="s">
        <v>56</v>
      </c>
    </row>
    <row r="4" customFormat="false" ht="15" hidden="false" customHeight="false" outlineLevel="0" collapsed="false">
      <c r="B4" s="35"/>
      <c r="C4" s="36" t="s">
        <v>57</v>
      </c>
      <c r="D4" s="36" t="s">
        <v>58</v>
      </c>
    </row>
    <row r="5" customFormat="false" ht="33.75" hidden="false" customHeight="true" outlineLevel="0" collapsed="false">
      <c r="B5" s="37" t="s">
        <v>59</v>
      </c>
      <c r="C5" s="38" t="s">
        <v>60</v>
      </c>
      <c r="D5" s="38" t="s">
        <v>61</v>
      </c>
    </row>
    <row r="6" customFormat="false" ht="33.75" hidden="false" customHeight="true" outlineLevel="0" collapsed="false">
      <c r="B6" s="37" t="s">
        <v>62</v>
      </c>
      <c r="C6" s="38" t="s">
        <v>63</v>
      </c>
      <c r="D6" s="38" t="s">
        <v>64</v>
      </c>
    </row>
    <row r="7" customFormat="false" ht="33.75" hidden="false" customHeight="true" outlineLevel="0" collapsed="false">
      <c r="B7" s="37" t="s">
        <v>65</v>
      </c>
      <c r="C7" s="38" t="s">
        <v>66</v>
      </c>
      <c r="D7" s="38" t="s">
        <v>67</v>
      </c>
    </row>
    <row r="8" customFormat="false" ht="33.75" hidden="false" customHeight="true" outlineLevel="0" collapsed="false">
      <c r="B8" s="37" t="s">
        <v>68</v>
      </c>
      <c r="C8" s="38" t="s">
        <v>69</v>
      </c>
      <c r="D8" s="38" t="s">
        <v>70</v>
      </c>
    </row>
    <row r="9" customFormat="false" ht="33.75" hidden="false" customHeight="true" outlineLevel="0" collapsed="false">
      <c r="B9" s="37" t="s">
        <v>71</v>
      </c>
      <c r="C9" s="38" t="s">
        <v>72</v>
      </c>
      <c r="D9" s="38" t="s">
        <v>73</v>
      </c>
    </row>
    <row r="10" customFormat="false" ht="33.75" hidden="false" customHeight="true" outlineLevel="0" collapsed="false">
      <c r="B10" s="37" t="s">
        <v>74</v>
      </c>
      <c r="C10" s="38" t="s">
        <v>75</v>
      </c>
      <c r="D10" s="38" t="s">
        <v>76</v>
      </c>
    </row>
    <row r="11" customFormat="false" ht="33.75" hidden="false" customHeight="true" outlineLevel="0" collapsed="false">
      <c r="B11" s="37" t="s">
        <v>77</v>
      </c>
      <c r="C11" s="38" t="s">
        <v>78</v>
      </c>
      <c r="D11" s="38" t="s">
        <v>79</v>
      </c>
    </row>
    <row r="12" customFormat="false" ht="33.75" hidden="false" customHeight="true" outlineLevel="0" collapsed="false">
      <c r="B12" s="37" t="s">
        <v>80</v>
      </c>
      <c r="C12" s="38" t="s">
        <v>81</v>
      </c>
      <c r="D12" s="38" t="s">
        <v>82</v>
      </c>
    </row>
    <row r="13" customFormat="false" ht="33.75" hidden="false" customHeight="true" outlineLevel="0" collapsed="false">
      <c r="B13" s="37" t="s">
        <v>83</v>
      </c>
      <c r="C13" s="38" t="s">
        <v>84</v>
      </c>
      <c r="D13" s="38" t="s">
        <v>85</v>
      </c>
    </row>
    <row r="14" customFormat="false" ht="33.75" hidden="false" customHeight="true" outlineLevel="0" collapsed="false">
      <c r="B14" s="37" t="s">
        <v>86</v>
      </c>
      <c r="C14" s="39" t="s">
        <v>87</v>
      </c>
      <c r="D14" s="40" t="s">
        <v>88</v>
      </c>
    </row>
    <row r="16" customFormat="false" ht="15" hidden="false" customHeight="false" outlineLevel="0" collapsed="false">
      <c r="B16" s="3" t="s">
        <v>89</v>
      </c>
      <c r="C16" s="3"/>
      <c r="D16" s="3"/>
    </row>
    <row r="17" customFormat="false" ht="54" hidden="false" customHeight="true" outlineLevel="0" collapsed="false">
      <c r="B17" s="41" t="s">
        <v>90</v>
      </c>
      <c r="C17" s="41"/>
      <c r="D17" s="41"/>
    </row>
    <row r="18" customFormat="false" ht="15" hidden="false" customHeight="false" outlineLevel="0" collapsed="false">
      <c r="B18" s="41"/>
      <c r="C18" s="41"/>
      <c r="D18" s="41"/>
    </row>
    <row r="19" customFormat="false" ht="15" hidden="false" customHeight="false" outlineLevel="0" collapsed="false">
      <c r="B19" s="41"/>
      <c r="C19" s="41"/>
      <c r="D19" s="41"/>
    </row>
    <row r="21" customFormat="false" ht="15" hidden="false" customHeight="false" outlineLevel="0" collapsed="false">
      <c r="B21" s="3" t="s">
        <v>91</v>
      </c>
      <c r="C21" s="3"/>
      <c r="D21" s="3"/>
    </row>
    <row r="22" customFormat="false" ht="30" hidden="false" customHeight="true" outlineLevel="0" collapsed="false">
      <c r="B22" s="5" t="s">
        <v>4</v>
      </c>
      <c r="C22" s="42" t="s">
        <v>92</v>
      </c>
      <c r="D22" s="42"/>
    </row>
    <row r="23" customFormat="false" ht="30" hidden="false" customHeight="true" outlineLevel="0" collapsed="false">
      <c r="B23" s="5" t="s">
        <v>4</v>
      </c>
      <c r="C23" s="42" t="s">
        <v>93</v>
      </c>
      <c r="D23" s="42"/>
    </row>
    <row r="24" customFormat="false" ht="30" hidden="false" customHeight="true" outlineLevel="0" collapsed="false">
      <c r="B24" s="5" t="s">
        <v>4</v>
      </c>
      <c r="C24" s="42" t="s">
        <v>94</v>
      </c>
      <c r="D24" s="42"/>
    </row>
  </sheetData>
  <mergeCells count="4">
    <mergeCell ref="B17:D19"/>
    <mergeCell ref="C22:D22"/>
    <mergeCell ref="C23:D23"/>
    <mergeCell ref="C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6"/>
    <col collapsed="false" customWidth="true" hidden="false" outlineLevel="0" max="6" min="6" style="0" width="22"/>
  </cols>
  <sheetData>
    <row r="2" customFormat="false" ht="16.15" hidden="false" customHeight="false" outlineLevel="0" collapsed="false">
      <c r="B2" s="1" t="s">
        <v>95</v>
      </c>
    </row>
    <row r="3" customFormat="false" ht="45.75" hidden="false" customHeight="true" outlineLevel="0" collapsed="false">
      <c r="B3" s="2" t="s">
        <v>96</v>
      </c>
      <c r="C3" s="2"/>
      <c r="D3" s="2"/>
      <c r="E3" s="2"/>
      <c r="F3" s="2"/>
    </row>
    <row r="5" customFormat="false" ht="15" hidden="false" customHeight="false" outlineLevel="0" collapsed="false">
      <c r="B5" s="3" t="s">
        <v>39</v>
      </c>
    </row>
    <row r="6" customFormat="false" ht="15" hidden="false" customHeight="false" outlineLevel="0" collapsed="false">
      <c r="B6" s="8" t="s">
        <v>97</v>
      </c>
      <c r="C6" s="11" t="n">
        <v>300</v>
      </c>
      <c r="E6" s="10" t="s">
        <v>98</v>
      </c>
      <c r="F6" s="10"/>
    </row>
    <row r="7" customFormat="false" ht="15" hidden="false" customHeight="false" outlineLevel="0" collapsed="false">
      <c r="B7" s="12" t="s">
        <v>99</v>
      </c>
      <c r="C7" s="27" t="n">
        <v>500</v>
      </c>
      <c r="E7" s="10" t="s">
        <v>100</v>
      </c>
      <c r="F7" s="10"/>
    </row>
    <row r="8" customFormat="false" ht="15" hidden="false" customHeight="false" outlineLevel="0" collapsed="false">
      <c r="B8" s="12" t="s">
        <v>101</v>
      </c>
      <c r="C8" s="28" t="n">
        <v>40</v>
      </c>
      <c r="E8" s="10" t="s">
        <v>102</v>
      </c>
      <c r="F8" s="10"/>
    </row>
    <row r="10" customFormat="false" ht="15" hidden="false" customHeight="false" outlineLevel="0" collapsed="false">
      <c r="B10" s="3" t="s">
        <v>103</v>
      </c>
      <c r="C10" s="3"/>
      <c r="D10" s="3"/>
      <c r="E10" s="3"/>
    </row>
    <row r="11" customFormat="false" ht="30" hidden="false" customHeight="true" outlineLevel="0" collapsed="false">
      <c r="B11" s="43"/>
      <c r="C11" s="15" t="s">
        <v>104</v>
      </c>
      <c r="D11" s="15" t="s">
        <v>105</v>
      </c>
      <c r="E11" s="15" t="s">
        <v>106</v>
      </c>
    </row>
    <row r="12" customFormat="false" ht="15" hidden="false" customHeight="false" outlineLevel="0" collapsed="false">
      <c r="B12" s="16" t="s">
        <v>107</v>
      </c>
      <c r="C12" s="17" t="n">
        <v>10</v>
      </c>
      <c r="D12" s="17" t="n">
        <v>60</v>
      </c>
      <c r="E12" s="17" t="n">
        <v>200</v>
      </c>
    </row>
    <row r="13" customFormat="false" ht="15" hidden="false" customHeight="false" outlineLevel="0" collapsed="false">
      <c r="B13" s="16" t="s">
        <v>108</v>
      </c>
      <c r="C13" s="21" t="n">
        <f aca="false">C12*C6</f>
        <v>3000</v>
      </c>
      <c r="D13" s="21" t="n">
        <f aca="false">D12*C6</f>
        <v>18000</v>
      </c>
      <c r="E13" s="21" t="n">
        <f aca="false">E12*C6</f>
        <v>60000</v>
      </c>
    </row>
    <row r="14" customFormat="false" ht="15" hidden="false" customHeight="false" outlineLevel="0" collapsed="false">
      <c r="B14" s="19" t="s">
        <v>109</v>
      </c>
      <c r="C14" s="20" t="n">
        <f aca="false">C12*C6*12</f>
        <v>36000</v>
      </c>
      <c r="D14" s="20" t="n">
        <f aca="false">D12*C6*12</f>
        <v>216000</v>
      </c>
      <c r="E14" s="20" t="n">
        <f aca="false">E12*C6*12</f>
        <v>720000</v>
      </c>
    </row>
    <row r="15" customFormat="false" ht="15" hidden="false" customHeight="false" outlineLevel="0" collapsed="false">
      <c r="B15" s="16" t="s">
        <v>110</v>
      </c>
      <c r="C15" s="21" t="n">
        <f aca="false">C12*C7</f>
        <v>5000</v>
      </c>
      <c r="D15" s="21" t="n">
        <f aca="false">(D12-C12)*C7</f>
        <v>25000</v>
      </c>
      <c r="E15" s="21" t="n">
        <f aca="false">(E12-D12)*C7</f>
        <v>70000</v>
      </c>
    </row>
    <row r="16" customFormat="false" ht="30" hidden="false" customHeight="true" outlineLevel="0" collapsed="false">
      <c r="B16" s="26" t="s">
        <v>111</v>
      </c>
      <c r="C16" s="26"/>
      <c r="D16" s="26"/>
      <c r="E16" s="26"/>
      <c r="F16" s="26"/>
    </row>
    <row r="17" customFormat="false" ht="15" hidden="false" customHeight="false" outlineLevel="0" collapsed="false">
      <c r="B17" s="26"/>
      <c r="C17" s="26"/>
      <c r="D17" s="26"/>
      <c r="E17" s="26"/>
      <c r="F17" s="26"/>
    </row>
  </sheetData>
  <mergeCells count="5">
    <mergeCell ref="B3:F3"/>
    <mergeCell ref="E6:F6"/>
    <mergeCell ref="E7:F7"/>
    <mergeCell ref="E8:F8"/>
    <mergeCell ref="B16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5" min="3" style="0" width="17"/>
    <col collapsed="false" customWidth="true" hidden="false" outlineLevel="0" max="6" min="6" style="0" width="4"/>
  </cols>
  <sheetData>
    <row r="2" customFormat="false" ht="16.15" hidden="false" customHeight="false" outlineLevel="0" collapsed="false">
      <c r="B2" s="1" t="s">
        <v>112</v>
      </c>
    </row>
    <row r="3" customFormat="false" ht="39.75" hidden="false" customHeight="true" outlineLevel="0" collapsed="false">
      <c r="B3" s="2" t="s">
        <v>113</v>
      </c>
      <c r="C3" s="2"/>
      <c r="D3" s="2"/>
      <c r="E3" s="2"/>
      <c r="F3" s="2"/>
    </row>
    <row r="5" customFormat="false" ht="15" hidden="false" customHeight="false" outlineLevel="0" collapsed="false">
      <c r="B5" s="43"/>
      <c r="C5" s="44" t="s">
        <v>114</v>
      </c>
      <c r="D5" s="44" t="s">
        <v>115</v>
      </c>
      <c r="E5" s="44" t="s">
        <v>116</v>
      </c>
    </row>
    <row r="6" customFormat="false" ht="15" hidden="false" customHeight="false" outlineLevel="0" collapsed="false">
      <c r="B6" s="45" t="s">
        <v>117</v>
      </c>
      <c r="C6" s="17" t="n">
        <v>10</v>
      </c>
      <c r="D6" s="17" t="n">
        <v>60</v>
      </c>
      <c r="E6" s="17" t="n">
        <v>200</v>
      </c>
    </row>
    <row r="7" customFormat="false" ht="15" hidden="false" customHeight="false" outlineLevel="0" collapsed="false">
      <c r="B7" s="22" t="s">
        <v>118</v>
      </c>
      <c r="C7" s="23" t="n">
        <f aca="false">C6*'Engine 1 — White-Label'!C6*12</f>
        <v>36000</v>
      </c>
      <c r="D7" s="23" t="n">
        <f aca="false">D6*'Engine 1 — White-Label'!C6*12</f>
        <v>216000</v>
      </c>
      <c r="E7" s="23" t="n">
        <f aca="false">E6*'Engine 1 — White-Label'!C6*12</f>
        <v>720000</v>
      </c>
    </row>
    <row r="8" customFormat="false" ht="15" hidden="false" customHeight="false" outlineLevel="0" collapsed="false">
      <c r="B8" s="45" t="s">
        <v>119</v>
      </c>
      <c r="C8" s="17" t="n">
        <v>50000</v>
      </c>
      <c r="D8" s="17" t="n">
        <v>300000</v>
      </c>
      <c r="E8" s="17" t="n">
        <v>1500000</v>
      </c>
    </row>
    <row r="9" customFormat="false" ht="15" hidden="false" customHeight="false" outlineLevel="0" collapsed="false">
      <c r="B9" s="16" t="s">
        <v>120</v>
      </c>
      <c r="C9" s="18" t="n">
        <f aca="false">C8*'Model 2 — Lead-Gen'!C6*'Model 2 — Lead-Gen'!C7</f>
        <v>1500</v>
      </c>
      <c r="D9" s="18" t="n">
        <f aca="false">D8*'Model 2 — Lead-Gen'!C6*'Model 2 — Lead-Gen'!C7</f>
        <v>9000</v>
      </c>
      <c r="E9" s="18" t="n">
        <f aca="false">E8*'Model 2 — Lead-Gen'!C6*'Model 2 — Lead-Gen'!C7</f>
        <v>45000</v>
      </c>
    </row>
    <row r="10" customFormat="false" ht="15" hidden="false" customHeight="false" outlineLevel="0" collapsed="false">
      <c r="B10" s="46" t="s">
        <v>121</v>
      </c>
      <c r="C10" s="47" t="n">
        <f aca="false">C9*'Model 2 — Lead-Gen'!C8</f>
        <v>120000</v>
      </c>
      <c r="D10" s="47" t="n">
        <f aca="false">D9*'Model 2 — Lead-Gen'!C8</f>
        <v>720000</v>
      </c>
      <c r="E10" s="47" t="n">
        <f aca="false">E9*'Model 2 — Lead-Gen'!C8</f>
        <v>3600000</v>
      </c>
    </row>
    <row r="11" customFormat="false" ht="15" hidden="false" customHeight="false" outlineLevel="0" collapsed="false">
      <c r="B11" s="46" t="s">
        <v>122</v>
      </c>
      <c r="C11" s="47" t="n">
        <f aca="false">C8*'Model 2 — Lead-Gen'!C9</f>
        <v>25000</v>
      </c>
      <c r="D11" s="47" t="n">
        <f aca="false">D8*'Model 2 — Lead-Gen'!C9</f>
        <v>150000</v>
      </c>
      <c r="E11" s="47" t="n">
        <f aca="false">E8*'Model 2 — Lead-Gen'!C9</f>
        <v>750000</v>
      </c>
    </row>
    <row r="12" customFormat="false" ht="15" hidden="false" customHeight="false" outlineLevel="0" collapsed="false">
      <c r="B12" s="22" t="s">
        <v>123</v>
      </c>
      <c r="C12" s="23" t="n">
        <f aca="false">C10+C11</f>
        <v>145000</v>
      </c>
      <c r="D12" s="23" t="n">
        <f aca="false">D10+D11</f>
        <v>870000</v>
      </c>
      <c r="E12" s="23" t="n">
        <f aca="false">E10+E11</f>
        <v>4350000</v>
      </c>
    </row>
    <row r="13" customFormat="false" ht="15" hidden="false" customHeight="false" outlineLevel="0" collapsed="false">
      <c r="B13" s="48" t="s">
        <v>124</v>
      </c>
      <c r="C13" s="20" t="n">
        <f aca="false">C7+C12</f>
        <v>181000</v>
      </c>
      <c r="D13" s="20" t="n">
        <f aca="false">D7+D12</f>
        <v>1086000</v>
      </c>
      <c r="E13" s="20" t="n">
        <f aca="false">E7+E12</f>
        <v>5070000</v>
      </c>
    </row>
    <row r="14" customFormat="false" ht="15" hidden="false" customHeight="false" outlineLevel="0" collapsed="false">
      <c r="B14" s="16" t="s">
        <v>125</v>
      </c>
      <c r="C14" s="24" t="n">
        <f aca="false">C7/C13</f>
        <v>0.198895027624309</v>
      </c>
      <c r="D14" s="24" t="n">
        <f aca="false">D7/D13</f>
        <v>0.198895027624309</v>
      </c>
      <c r="E14" s="24" t="n">
        <f aca="false">E7/E13</f>
        <v>0.142011834319527</v>
      </c>
    </row>
    <row r="16" customFormat="false" ht="15" hidden="false" customHeight="false" outlineLevel="0" collapsed="false">
      <c r="B16" s="3" t="s">
        <v>126</v>
      </c>
      <c r="C16" s="3"/>
      <c r="D16" s="3"/>
      <c r="E16" s="3"/>
    </row>
    <row r="17" customFormat="false" ht="43.5" hidden="false" customHeight="true" outlineLevel="0" collapsed="false">
      <c r="B17" s="49" t="s">
        <v>114</v>
      </c>
      <c r="C17" s="50" t="s">
        <v>127</v>
      </c>
      <c r="D17" s="50"/>
      <c r="E17" s="50"/>
    </row>
    <row r="18" customFormat="false" ht="43.5" hidden="false" customHeight="true" outlineLevel="0" collapsed="false">
      <c r="B18" s="49" t="s">
        <v>115</v>
      </c>
      <c r="C18" s="50" t="s">
        <v>128</v>
      </c>
      <c r="D18" s="50"/>
      <c r="E18" s="50"/>
    </row>
    <row r="19" customFormat="false" ht="43.5" hidden="false" customHeight="true" outlineLevel="0" collapsed="false">
      <c r="B19" s="49" t="s">
        <v>116</v>
      </c>
      <c r="C19" s="50" t="s">
        <v>129</v>
      </c>
      <c r="D19" s="50"/>
      <c r="E19" s="50"/>
    </row>
  </sheetData>
  <mergeCells count="4">
    <mergeCell ref="B3:F3"/>
    <mergeCell ref="C17:E17"/>
    <mergeCell ref="C18:E18"/>
    <mergeCell ref="C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2026-07-23T21:06:11Z</dcterms:created>
  <dc:creator>openpyxl</dc:creator>
  <dc:description/>
  <dc:language>en-US</dc:language>
  <cp:lastModifiedBy/>
  <dcterms:modified xsi:type="dcterms:W3CDTF">2026-07-23T21:15:51Z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