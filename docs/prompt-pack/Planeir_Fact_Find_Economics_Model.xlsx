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de849dcb4344de2" /></Relationships>
</file>

<file path=xl/workbook.xml><?xml version="1.0" encoding="utf-8"?>
<x:workbook xmlns:x="http://schemas.openxmlformats.org/spreadsheetml/2006/main">
  <x:sheets>
    <x:sheet xmlns:r="http://schemas.openxmlformats.org/officeDocument/2006/relationships" name="Assumptions" sheetId="1" r:id="Rab32759e91fd47f4"/>
    <x:sheet xmlns:r="http://schemas.openxmlformats.org/officeDocument/2006/relationships" name="Summary" sheetId="2" r:id="R7a8a2bf36b7f4807"/>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Red](0.0%);-"/>
    <x:numFmt numFmtId="202" formatCode="#,##0;[Red](#,##0);-"/>
    <x:numFmt numFmtId="203" formatCode="€#,##0;[Red](€#,##0);-"/>
    <x:numFmt numFmtId="204" formatCode="#,##0.00;[Red](#,##0.00);-"/>
    <x:numFmt numFmtId="205" formatCode="€#,##0.0;[Red](€#,##0.0);-"/>
    <x:numFmt numFmtId="206" formatCode="0.0x;[Red](0.0x);-"/>
  </x:numFmts>
  <x:fonts count="12">
    <x:font>
      <x:sz val="11"/>
      <x:name val="Carlito"/>
    </x:font>
    <x:font>
      <x:b/>
      <x:sz val="18"/>
      <x:color rgb="FFFFFFFF"/>
      <x:name val="Carlito"/>
    </x:font>
    <x:font>
      <x:i/>
      <x:sz val="9"/>
      <x:color rgb="FF5B6573"/>
      <x:name val="Carlito"/>
    </x:font>
    <x:font>
      <x:b/>
      <x:sz val="11"/>
      <x:color rgb="FFFFFFFF"/>
      <x:name val="Carlito"/>
    </x:font>
    <x:font>
      <x:b/>
      <x:sz val="10"/>
      <x:color rgb="FFFFFFFF"/>
      <x:name val="Carlito"/>
    </x:font>
    <x:font>
      <x:sz val="10"/>
      <x:color rgb="FF000000"/>
      <x:name val="Carlito"/>
    </x:font>
    <x:font>
      <x:sz val="10"/>
      <x:color rgb="FF0000FF"/>
      <x:name val="Carlito"/>
    </x:font>
    <x:font>
      <x:sz val="9"/>
      <x:color rgb="FF5B6573"/>
      <x:name val="Carlito"/>
    </x:font>
    <x:font>
      <x:sz val="8"/>
      <x:color rgb="FF5B6573"/>
      <x:name val="Carlito"/>
    </x:font>
    <x:font>
      <x:sz val="10"/>
      <x:color rgb="FF008000"/>
      <x:name val="Carlito"/>
    </x:font>
    <x:font>
      <x:b/>
      <x:sz val="11"/>
      <x:color rgb="FF0B1F33"/>
      <x:name val="Carlito"/>
    </x:font>
    <x:font>
      <x:sz val="9"/>
      <x:color rgb="FF000000"/>
      <x:name val="Carlito"/>
    </x:font>
  </x:fonts>
  <x:fills count="8">
    <x:fill>
      <x:patternFill patternType="none"/>
    </x:fill>
    <x:fill>
      <x:patternFill patternType="gray125"/>
    </x:fill>
    <x:fill>
      <x:patternFill patternType="solid">
        <x:fgColor rgb="FF0B1F33"/>
      </x:patternFill>
    </x:fill>
    <x:fill>
      <x:patternFill patternType="solid">
        <x:fgColor rgb="FFF3F5F7"/>
      </x:patternFill>
    </x:fill>
    <x:fill>
      <x:patternFill patternType="solid">
        <x:fgColor rgb="FF0F9D8C"/>
      </x:patternFill>
    </x:fill>
    <x:fill>
      <x:patternFill patternType="solid">
        <x:fgColor rgb="FFFFF2CC"/>
      </x:patternFill>
    </x:fill>
    <x:fill>
      <x:patternFill patternType="solid">
        <x:fgColor rgb="FFDDF4F0"/>
      </x:patternFill>
    </x:fill>
    <x:fill>
      <x:patternFill patternType="solid">
        <x:fgColor rgb="FFEAF2F8"/>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1" xfId="0" applyNumberFormat="1" applyFont="1" applyFill="1" applyBorder="1"/>
    <x:xf numFmtId="0" fontId="5" fillId="0" borderId="1"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horizontal="right"/>
    </x:xf>
    <x:xf numFmtId="0" fontId="6" fillId="0" borderId="0" xfId="0" applyNumberFormat="1" applyFont="1" applyFill="1" applyBorder="1" applyAlignment="1">
      <x:alignment horizontal="right" vertical="center"/>
    </x:xf>
    <x:xf numFmtId="0" fontId="6" fillId="0" borderId="1" xfId="0" applyNumberFormat="1" applyFont="1" applyFill="1" applyBorder="1"/>
    <x:xf numFmtId="0" fontId="6" fillId="0" borderId="1" xfId="0" applyNumberFormat="1" applyFont="1" applyFill="1" applyBorder="1" applyAlignment="1">
      <x:alignment horizontal="right"/>
    </x:xf>
    <x:xf numFmtId="0" fontId="6" fillId="0" borderId="1" xfId="0" applyNumberFormat="1" applyFont="1" applyFill="1" applyBorder="1" applyAlignment="1">
      <x:alignment horizontal="right" vertical="center"/>
    </x:xf>
    <x:xf numFmtId="0" fontId="7" fillId="0" borderId="0" xfId="0" applyNumberFormat="1" applyFont="1" applyFill="1" applyBorder="1"/>
    <x:xf numFmtId="0" fontId="7" fillId="0" borderId="0" xfId="0" applyNumberFormat="1" applyFont="1" applyFill="1" applyBorder="1" applyAlignment="1">
      <x:alignment horizontal="center"/>
    </x:xf>
    <x:xf numFmtId="0" fontId="7" fillId="0" borderId="1" xfId="0" applyNumberFormat="1" applyFont="1" applyFill="1" applyBorder="1"/>
    <x:xf numFmtId="0" fontId="7" fillId="0" borderId="1"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6" fillId="5" borderId="0" xfId="0" applyNumberFormat="1" applyFont="1" applyFill="1" applyBorder="1" applyAlignment="1">
      <x:alignment horizontal="right" vertical="center"/>
    </x:xf>
    <x:xf numFmtId="0" fontId="6" fillId="5" borderId="1" xfId="0" applyNumberFormat="1" applyFont="1" applyFill="1" applyBorder="1" applyAlignment="1">
      <x:alignment horizontal="right" vertical="center"/>
    </x:xf>
    <x:xf numFmtId="200" fontId="6" fillId="0" borderId="0" xfId="0" applyNumberFormat="1" applyFont="1" applyFill="1" applyBorder="1" applyAlignment="1">
      <x:alignment horizontal="right" vertical="center"/>
    </x:xf>
    <x:xf numFmtId="200" fontId="6" fillId="0" borderId="1" xfId="0" applyNumberFormat="1" applyFont="1" applyFill="1" applyBorder="1" applyAlignment="1">
      <x:alignment horizontal="right" vertical="center"/>
    </x:xf>
    <x:xf numFmtId="201" fontId="6" fillId="0" borderId="0" xfId="0" applyNumberFormat="1" applyFont="1" applyFill="1" applyBorder="1" applyAlignment="1">
      <x:alignment horizontal="right" vertical="center"/>
    </x:xf>
    <x:xf numFmtId="201" fontId="6" fillId="0" borderId="1" xfId="0" applyNumberFormat="1" applyFont="1" applyFill="1" applyBorder="1" applyAlignment="1">
      <x:alignment horizontal="right" vertical="center"/>
    </x:xf>
    <x:xf numFmtId="202" fontId="6" fillId="0" borderId="0" xfId="0" applyNumberFormat="1" applyFont="1" applyFill="1" applyBorder="1" applyAlignment="1">
      <x:alignment horizontal="right" vertical="center"/>
    </x:xf>
    <x:xf numFmtId="202" fontId="6" fillId="0" borderId="1" xfId="0" applyNumberFormat="1" applyFont="1" applyFill="1" applyBorder="1" applyAlignment="1">
      <x:alignment horizontal="right" vertical="center"/>
    </x:xf>
    <x:xf numFmtId="201" fontId="6" fillId="5" borderId="0" xfId="0" applyNumberFormat="1" applyFont="1" applyFill="1" applyBorder="1" applyAlignment="1">
      <x:alignment horizontal="right" vertical="center"/>
    </x:xf>
    <x:xf numFmtId="201" fontId="6" fillId="5" borderId="1" xfId="0" applyNumberFormat="1" applyFont="1" applyFill="1" applyBorder="1" applyAlignment="1">
      <x:alignment horizontal="right" vertical="center"/>
    </x:xf>
    <x:xf numFmtId="203" fontId="6" fillId="5" borderId="0" xfId="0" applyNumberFormat="1" applyFont="1" applyFill="1" applyBorder="1" applyAlignment="1">
      <x:alignment horizontal="right" vertical="center"/>
    </x:xf>
    <x:xf numFmtId="203" fontId="6" fillId="5" borderId="1" xfId="0" applyNumberFormat="1" applyFont="1" applyFill="1" applyBorder="1" applyAlignment="1">
      <x:alignment horizontal="right" vertical="center"/>
    </x:xf>
    <x:xf numFmtId="203" fontId="6" fillId="0" borderId="0" xfId="0" applyNumberFormat="1" applyFont="1" applyFill="1" applyBorder="1" applyAlignment="1">
      <x:alignment horizontal="right" vertical="center"/>
    </x:xf>
    <x:xf numFmtId="203" fontId="6" fillId="0" borderId="1" xfId="0" applyNumberFormat="1" applyFont="1" applyFill="1" applyBorder="1" applyAlignment="1">
      <x:alignment horizontal="right" vertical="center"/>
    </x:xf>
    <x:xf numFmtId="204" fontId="6" fillId="0" borderId="0" xfId="0" applyNumberFormat="1" applyFont="1" applyFill="1" applyBorder="1" applyAlignment="1">
      <x:alignment horizontal="right" vertical="center"/>
    </x:xf>
    <x:xf numFmtId="204" fontId="6" fillId="0" borderId="1" xfId="0" applyNumberFormat="1" applyFont="1" applyFill="1" applyBorder="1" applyAlignment="1">
      <x:alignment horizontal="right" vertical="center"/>
    </x:xf>
    <x:xf numFmtId="0" fontId="5" fillId="0" borderId="0" xfId="0" applyNumberFormat="1" applyFont="1" applyFill="1" applyBorder="1" applyAlignment="1">
      <x:alignment horizontal="right"/>
    </x:xf>
    <x:xf numFmtId="0" fontId="5" fillId="0" borderId="0" xfId="0" applyNumberFormat="1" applyFont="1" applyFill="1" applyBorder="1" applyAlignment="1">
      <x:alignment horizontal="right" vertical="center"/>
    </x:xf>
    <x:xf numFmtId="0" fontId="5" fillId="0" borderId="1" xfId="0" applyNumberFormat="1" applyFont="1" applyFill="1" applyBorder="1" applyAlignment="1">
      <x:alignment horizontal="right"/>
    </x:xf>
    <x:xf numFmtId="0" fontId="5" fillId="0" borderId="1" xfId="0" applyNumberFormat="1" applyFont="1" applyFill="1" applyBorder="1" applyAlignment="1">
      <x:alignment horizontal="right" vertical="center"/>
    </x:xf>
    <x:xf numFmtId="205" fontId="5" fillId="0" borderId="0" xfId="0" applyNumberFormat="1" applyFont="1" applyFill="1" applyBorder="1" applyAlignment="1">
      <x:alignment horizontal="right" vertical="center"/>
    </x:xf>
    <x:xf numFmtId="205" fontId="5" fillId="0" borderId="1" xfId="0" applyNumberFormat="1" applyFont="1" applyFill="1" applyBorder="1" applyAlignment="1">
      <x:alignment horizontal="right" vertical="center"/>
    </x:xf>
    <x:xf numFmtId="200" fontId="5" fillId="0" borderId="0" xfId="0" applyNumberFormat="1" applyFont="1" applyFill="1" applyBorder="1" applyAlignment="1">
      <x:alignment horizontal="right" vertical="center"/>
    </x:xf>
    <x:xf numFmtId="200" fontId="5" fillId="0" borderId="1" xfId="0" applyNumberFormat="1" applyFont="1" applyFill="1" applyBorder="1" applyAlignment="1">
      <x:alignment horizontal="right" vertical="center"/>
    </x:xf>
    <x:xf numFmtId="203" fontId="5" fillId="0" borderId="0" xfId="0" applyNumberFormat="1" applyFont="1" applyFill="1" applyBorder="1" applyAlignment="1">
      <x:alignment horizontal="right" vertical="center"/>
    </x:xf>
    <x:xf numFmtId="203" fontId="5" fillId="0" borderId="1" xfId="0" applyNumberFormat="1" applyFont="1" applyFill="1" applyBorder="1" applyAlignment="1">
      <x:alignment horizontal="right" vertical="center"/>
    </x:xf>
    <x:xf numFmtId="206" fontId="5" fillId="0" borderId="0" xfId="0" applyNumberFormat="1" applyFont="1" applyFill="1" applyBorder="1" applyAlignment="1">
      <x:alignment horizontal="right" vertical="center"/>
    </x:xf>
    <x:xf numFmtId="206" fontId="5" fillId="0" borderId="1" xfId="0" applyNumberFormat="1" applyFont="1" applyFill="1" applyBorder="1" applyAlignment="1">
      <x:alignment horizontal="right" vertical="center"/>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applyAlignment="1">
      <x:alignment horizontal="left" vertical="center" wrapText="1"/>
    </x:xf>
    <x:xf numFmtId="0" fontId="5" fillId="0" borderId="0" xfId="0" applyNumberFormat="1" applyFont="1" applyFill="1" applyBorder="1" applyAlignment="1">
      <x:alignment vertical="center" wrapText="1"/>
    </x:xf>
    <x:xf numFmtId="200" fontId="6" fillId="0" borderId="0" xfId="0" applyNumberFormat="1" applyFont="1" applyFill="1" applyBorder="1" applyAlignment="1">
      <x:alignment horizontal="right" vertical="center" wrapText="1"/>
    </x:xf>
    <x:xf numFmtId="0" fontId="7" fillId="0" borderId="0" xfId="0" applyNumberFormat="1" applyFont="1" applyFill="1" applyBorder="1" applyAlignment="1">
      <x:alignment horizontal="center" wrapText="1"/>
    </x:xf>
    <x:xf numFmtId="201" fontId="6" fillId="0" borderId="0" xfId="0" applyNumberFormat="1" applyFont="1" applyFill="1" applyBorder="1" applyAlignment="1">
      <x:alignment horizontal="right" vertical="center" wrapText="1"/>
    </x:xf>
    <x:xf numFmtId="203" fontId="5" fillId="0" borderId="0" xfId="0" applyNumberFormat="1" applyFont="1" applyFill="1" applyBorder="1" applyAlignment="1">
      <x:alignment horizontal="right" vertical="center" wrapText="1"/>
    </x:xf>
    <x:xf numFmtId="202" fontId="6" fillId="0" borderId="0" xfId="0" applyNumberFormat="1" applyFont="1" applyFill="1" applyBorder="1" applyAlignment="1">
      <x:alignment horizontal="right" vertical="center" wrapText="1"/>
    </x:xf>
    <x:xf numFmtId="201" fontId="6" fillId="5" borderId="0" xfId="0" applyNumberFormat="1" applyFont="1" applyFill="1" applyBorder="1" applyAlignment="1">
      <x:alignment horizontal="right" vertical="center" wrapText="1"/>
    </x:xf>
    <x:xf numFmtId="203" fontId="6" fillId="5" borderId="0" xfId="0" applyNumberFormat="1" applyFont="1" applyFill="1" applyBorder="1" applyAlignment="1">
      <x:alignment horizontal="right" vertical="center" wrapText="1"/>
    </x:xf>
    <x:xf numFmtId="203" fontId="6" fillId="0" borderId="0" xfId="0" applyNumberFormat="1" applyFont="1" applyFill="1" applyBorder="1" applyAlignment="1">
      <x:alignment horizontal="right" vertical="center" wrapText="1"/>
    </x:xf>
    <x:xf numFmtId="204" fontId="6" fillId="0" borderId="0" xfId="0" applyNumberFormat="1" applyFont="1" applyFill="1" applyBorder="1" applyAlignment="1">
      <x:alignment horizontal="right" vertical="center" wrapText="1"/>
    </x:xf>
    <x:xf numFmtId="205" fontId="5" fillId="0" borderId="0" xfId="0" applyNumberFormat="1" applyFont="1" applyFill="1" applyBorder="1" applyAlignment="1">
      <x:alignment horizontal="right" vertical="center" wrapText="1"/>
    </x:xf>
    <x:xf numFmtId="200" fontId="5" fillId="0" borderId="0" xfId="0" applyNumberFormat="1" applyFont="1" applyFill="1" applyBorder="1" applyAlignment="1">
      <x:alignment horizontal="right" vertical="center" wrapText="1"/>
    </x:xf>
    <x:xf numFmtId="206" fontId="5" fillId="0" borderId="0" xfId="0" applyNumberFormat="1" applyFont="1" applyFill="1" applyBorder="1" applyAlignment="1">
      <x:alignment horizontal="right" vertical="center"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1" xfId="0" applyNumberFormat="1" applyFont="1" applyFill="1" applyBorder="1" applyAlignment="1">
      <x:alignment horizontal="left" vertical="center" wrapText="1"/>
    </x:xf>
    <x:xf numFmtId="0" fontId="5" fillId="0" borderId="1" xfId="0" applyNumberFormat="1" applyFont="1" applyFill="1" applyBorder="1" applyAlignment="1">
      <x:alignment vertical="center" wrapText="1"/>
    </x:xf>
    <x:xf numFmtId="200" fontId="6" fillId="0" borderId="1" xfId="0" applyNumberFormat="1" applyFont="1" applyFill="1" applyBorder="1" applyAlignment="1">
      <x:alignment horizontal="right" vertical="center" wrapText="1"/>
    </x:xf>
    <x:xf numFmtId="0" fontId="7" fillId="0" borderId="1" xfId="0" applyNumberFormat="1" applyFont="1" applyFill="1" applyBorder="1" applyAlignment="1">
      <x:alignment horizontal="center" wrapText="1"/>
    </x:xf>
    <x:xf numFmtId="201" fontId="6" fillId="0" borderId="1" xfId="0" applyNumberFormat="1" applyFont="1" applyFill="1" applyBorder="1" applyAlignment="1">
      <x:alignment horizontal="right" vertical="center" wrapText="1"/>
    </x:xf>
    <x:xf numFmtId="203" fontId="5" fillId="0" borderId="1" xfId="0" applyNumberFormat="1" applyFont="1" applyFill="1" applyBorder="1" applyAlignment="1">
      <x:alignment horizontal="right" vertical="center" wrapText="1"/>
    </x:xf>
    <x:xf numFmtId="202" fontId="6" fillId="0" borderId="1" xfId="0" applyNumberFormat="1" applyFont="1" applyFill="1" applyBorder="1" applyAlignment="1">
      <x:alignment horizontal="right" vertical="center" wrapText="1"/>
    </x:xf>
    <x:xf numFmtId="201" fontId="6" fillId="5" borderId="1" xfId="0" applyNumberFormat="1" applyFont="1" applyFill="1" applyBorder="1" applyAlignment="1">
      <x:alignment horizontal="right" vertical="center" wrapText="1"/>
    </x:xf>
    <x:xf numFmtId="203" fontId="6" fillId="5" borderId="1" xfId="0" applyNumberFormat="1" applyFont="1" applyFill="1" applyBorder="1" applyAlignment="1">
      <x:alignment horizontal="right" vertical="center" wrapText="1"/>
    </x:xf>
    <x:xf numFmtId="203" fontId="6" fillId="0" borderId="1" xfId="0" applyNumberFormat="1" applyFont="1" applyFill="1" applyBorder="1" applyAlignment="1">
      <x:alignment horizontal="right" vertical="center" wrapText="1"/>
    </x:xf>
    <x:xf numFmtId="204" fontId="6" fillId="0" borderId="1" xfId="0" applyNumberFormat="1" applyFont="1" applyFill="1" applyBorder="1" applyAlignment="1">
      <x:alignment horizontal="right" vertical="center" wrapText="1"/>
    </x:xf>
    <x:xf numFmtId="205" fontId="5" fillId="0" borderId="1" xfId="0" applyNumberFormat="1" applyFont="1" applyFill="1" applyBorder="1" applyAlignment="1">
      <x:alignment horizontal="right" vertical="center" wrapText="1"/>
    </x:xf>
    <x:xf numFmtId="200" fontId="5" fillId="0" borderId="1" xfId="0" applyNumberFormat="1" applyFont="1" applyFill="1" applyBorder="1" applyAlignment="1">
      <x:alignment horizontal="right" vertical="center" wrapText="1"/>
    </x:xf>
    <x:xf numFmtId="206" fontId="5" fillId="0" borderId="1" xfId="0" applyNumberFormat="1" applyFont="1" applyFill="1" applyBorder="1" applyAlignment="1">
      <x:alignment horizontal="right"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5" fillId="0" borderId="5" xfId="0" applyNumberFormat="1" applyFont="1" applyFill="1" applyBorder="1" applyAlignment="1">
      <x:alignment vertical="center" wrapText="1"/>
    </x:xf>
    <x:xf numFmtId="0" fontId="7" fillId="0" borderId="6" xfId="0" applyNumberFormat="1" applyFont="1" applyFill="1" applyBorder="1" applyAlignment="1">
      <x:alignment vertical="top" wrapText="1"/>
    </x:xf>
    <x:xf numFmtId="0" fontId="5" fillId="0" borderId="7" xfId="0" applyNumberFormat="1" applyFont="1" applyFill="1" applyBorder="1" applyAlignment="1">
      <x:alignment vertical="center" wrapText="1"/>
    </x:xf>
    <x:xf numFmtId="202" fontId="6" fillId="0" borderId="8" xfId="0" applyNumberFormat="1" applyFont="1" applyFill="1" applyBorder="1" applyAlignment="1">
      <x:alignment horizontal="right" vertical="center" wrapText="1"/>
    </x:xf>
    <x:xf numFmtId="0" fontId="0" fillId="0" borderId="8" xfId="0" applyNumberFormat="1" applyFont="1" applyFill="1" applyBorder="1" applyAlignment="1">
      <x:alignment wrapText="1"/>
    </x:xf>
    <x:xf numFmtId="0" fontId="7" fillId="0" borderId="8" xfId="0" applyNumberFormat="1" applyFont="1" applyFill="1" applyBorder="1" applyAlignment="1">
      <x:alignment horizontal="center" wrapText="1"/>
    </x:xf>
    <x:xf numFmtId="0" fontId="8"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4" fillId="4" borderId="10" xfId="0" applyNumberFormat="1" applyFont="1" applyFill="1" applyBorder="1" applyAlignment="1">
      <x:alignment horizontal="center" vertical="center" wrapText="1"/>
    </x:xf>
    <x:xf numFmtId="0" fontId="4" fillId="4" borderId="11" xfId="0" applyNumberFormat="1" applyFont="1" applyFill="1" applyBorder="1" applyAlignment="1">
      <x:alignment horizontal="center" vertical="center" wrapText="1"/>
    </x:xf>
    <x:xf numFmtId="0" fontId="4" fillId="4" borderId="12" xfId="0" applyNumberFormat="1" applyFont="1" applyFill="1" applyBorder="1" applyAlignment="1">
      <x:alignment horizontal="center" vertical="center" wrapText="1"/>
    </x:xf>
    <x:xf numFmtId="0" fontId="5" fillId="0" borderId="13" xfId="0" applyNumberFormat="1" applyFont="1" applyFill="1" applyBorder="1" applyAlignment="1">
      <x:alignment vertical="center" wrapText="1"/>
    </x:xf>
    <x:xf numFmtId="0" fontId="7" fillId="0" borderId="14" xfId="0" applyNumberFormat="1" applyFont="1" applyFill="1" applyBorder="1" applyAlignment="1">
      <x:alignment vertical="top" wrapText="1"/>
    </x:xf>
    <x:xf numFmtId="0" fontId="5" fillId="0" borderId="15" xfId="0" applyNumberFormat="1" applyFont="1" applyFill="1" applyBorder="1" applyAlignment="1">
      <x:alignment vertical="center" wrapText="1"/>
    </x:xf>
    <x:xf numFmtId="202" fontId="6" fillId="0" borderId="16" xfId="0" applyNumberFormat="1" applyFont="1" applyFill="1" applyBorder="1" applyAlignment="1">
      <x:alignment horizontal="right" vertical="center" wrapText="1"/>
    </x:xf>
    <x:xf numFmtId="0" fontId="0" fillId="0" borderId="16" xfId="0" applyNumberFormat="1" applyFont="1" applyFill="1" applyBorder="1" applyAlignment="1">
      <x:alignment wrapText="1"/>
    </x:xf>
    <x:xf numFmtId="0" fontId="7" fillId="0" borderId="16" xfId="0" applyNumberFormat="1" applyFont="1" applyFill="1" applyBorder="1" applyAlignment="1">
      <x:alignment horizontal="center" wrapText="1"/>
    </x:xf>
    <x:xf numFmtId="0" fontId="8"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203" fontId="6" fillId="0" borderId="8" xfId="0" applyNumberFormat="1" applyFont="1" applyFill="1" applyBorder="1" applyAlignment="1">
      <x:alignment horizontal="right" vertical="center" wrapText="1"/>
    </x:xf>
    <x:xf numFmtId="203" fontId="6" fillId="0" borderId="16" xfId="0" applyNumberFormat="1" applyFont="1" applyFill="1" applyBorder="1" applyAlignment="1">
      <x:alignment horizontal="right" vertical="center" wrapText="1"/>
    </x:xf>
    <x:xf numFmtId="0" fontId="7" fillId="0" borderId="6"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7" xfId="0" applyNumberFormat="1" applyFont="1" applyFill="1" applyBorder="1" applyAlignment="1">
      <x:alignment wrapText="1"/>
    </x:xf>
    <x:xf numFmtId="0" fontId="0" fillId="0" borderId="6" xfId="0" applyNumberFormat="1" applyFont="1" applyFill="1" applyBorder="1" applyAlignment="1">
      <x:alignment wrapText="1"/>
    </x:xf>
    <x:xf numFmtId="203" fontId="5" fillId="0" borderId="8" xfId="0" applyNumberFormat="1" applyFont="1" applyFill="1" applyBorder="1" applyAlignment="1">
      <x:alignment horizontal="right" vertical="center" wrapText="1"/>
    </x:xf>
    <x:xf numFmtId="0" fontId="0" fillId="0" borderId="9" xfId="0" applyNumberFormat="1" applyFont="1" applyFill="1" applyBorder="1" applyAlignment="1">
      <x:alignment wrapText="1"/>
    </x:xf>
    <x:xf numFmtId="0" fontId="0" fillId="0" borderId="14" xfId="0" applyNumberFormat="1" applyFont="1" applyFill="1" applyBorder="1" applyAlignment="1">
      <x:alignment wrapText="1"/>
    </x:xf>
    <x:xf numFmtId="203" fontId="5" fillId="0" borderId="16" xfId="0" applyNumberFormat="1" applyFont="1" applyFill="1" applyBorder="1" applyAlignment="1">
      <x:alignment horizontal="right" vertical="center" wrapText="1"/>
    </x:xf>
    <x:xf numFmtId="0" fontId="0" fillId="0" borderId="17" xfId="0" applyNumberFormat="1" applyFont="1" applyFill="1" applyBorder="1" applyAlignment="1">
      <x:alignment wrapText="1"/>
    </x:xf>
    <x:xf numFmtId="201" fontId="6" fillId="0" borderId="5" xfId="0" applyNumberFormat="1" applyFont="1" applyFill="1" applyBorder="1" applyAlignment="1">
      <x:alignment horizontal="right" vertical="center" wrapText="1"/>
    </x:xf>
    <x:xf numFmtId="203" fontId="5" fillId="0" borderId="6" xfId="0" applyNumberFormat="1" applyFont="1" applyFill="1" applyBorder="1" applyAlignment="1">
      <x:alignment horizontal="right" vertical="center" wrapText="1"/>
    </x:xf>
    <x:xf numFmtId="201" fontId="6" fillId="0" borderId="7" xfId="0" applyNumberFormat="1" applyFont="1" applyFill="1" applyBorder="1" applyAlignment="1">
      <x:alignment horizontal="right" vertical="center" wrapText="1"/>
    </x:xf>
    <x:xf numFmtId="203" fontId="5" fillId="0" borderId="9" xfId="0" applyNumberFormat="1" applyFont="1" applyFill="1" applyBorder="1" applyAlignment="1">
      <x:alignment horizontal="right" vertical="center" wrapText="1"/>
    </x:xf>
    <x:xf numFmtId="201" fontId="6" fillId="0" borderId="13" xfId="0" applyNumberFormat="1" applyFont="1" applyFill="1" applyBorder="1" applyAlignment="1">
      <x:alignment horizontal="right" vertical="center" wrapText="1"/>
    </x:xf>
    <x:xf numFmtId="203" fontId="5" fillId="0" borderId="14" xfId="0" applyNumberFormat="1" applyFont="1" applyFill="1" applyBorder="1" applyAlignment="1">
      <x:alignment horizontal="right" vertical="center" wrapText="1"/>
    </x:xf>
    <x:xf numFmtId="201" fontId="6" fillId="0" borderId="15" xfId="0" applyNumberFormat="1" applyFont="1" applyFill="1" applyBorder="1" applyAlignment="1">
      <x:alignment horizontal="right" vertical="center" wrapText="1"/>
    </x:xf>
    <x:xf numFmtId="203" fontId="5" fillId="0" borderId="17" xfId="0" applyNumberFormat="1" applyFont="1" applyFill="1" applyBorder="1" applyAlignment="1">
      <x:alignment horizontal="right" vertical="center" wrapText="1"/>
    </x:xf>
    <x:xf numFmtId="0" fontId="9" fillId="0" borderId="0" xfId="0" applyNumberFormat="1" applyFont="1" applyFill="1" applyBorder="1"/>
    <x:xf numFmtId="0" fontId="9" fillId="0" borderId="0" xfId="0" applyNumberFormat="1" applyFont="1" applyFill="1" applyBorder="1" applyAlignment="1">
      <x:alignment horizontal="right"/>
    </x:xf>
    <x:xf numFmtId="0" fontId="9" fillId="0" borderId="0" xfId="0" applyNumberFormat="1" applyFont="1" applyFill="1" applyBorder="1" applyAlignment="1">
      <x:alignment horizontal="right" vertical="center"/>
    </x:xf>
    <x:xf numFmtId="0" fontId="9" fillId="0" borderId="1" xfId="0" applyNumberFormat="1" applyFont="1" applyFill="1" applyBorder="1"/>
    <x:xf numFmtId="0" fontId="9" fillId="0" borderId="1" xfId="0" applyNumberFormat="1" applyFont="1" applyFill="1" applyBorder="1" applyAlignment="1">
      <x:alignment horizontal="right"/>
    </x:xf>
    <x:xf numFmtId="0" fontId="9" fillId="0" borderId="1" xfId="0" applyNumberFormat="1" applyFont="1" applyFill="1" applyBorder="1" applyAlignment="1">
      <x:alignment horizontal="right" vertical="center"/>
    </x:xf>
    <x:xf numFmtId="200" fontId="9" fillId="0" borderId="0" xfId="0" applyNumberFormat="1" applyFont="1" applyFill="1" applyBorder="1" applyAlignment="1">
      <x:alignment horizontal="right" vertical="center"/>
    </x:xf>
    <x:xf numFmtId="200" fontId="9" fillId="0" borderId="1" xfId="0" applyNumberFormat="1" applyFont="1" applyFill="1" applyBorder="1" applyAlignment="1">
      <x:alignment horizontal="right" vertical="center"/>
    </x:xf>
    <x:xf numFmtId="203" fontId="9" fillId="0" borderId="0" xfId="0" applyNumberFormat="1" applyFont="1" applyFill="1" applyBorder="1" applyAlignment="1">
      <x:alignment horizontal="right" vertical="center"/>
    </x:xf>
    <x:xf numFmtId="203" fontId="9" fillId="0" borderId="1" xfId="0" applyNumberFormat="1" applyFont="1" applyFill="1" applyBorder="1" applyAlignment="1">
      <x:alignment horizontal="righ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horizontal="left" wrapText="1"/>
    </x:xf>
    <x:xf numFmtId="0" fontId="10" fillId="6" borderId="0" xfId="0" applyNumberFormat="1" applyFont="1" applyFill="1" applyBorder="1" applyAlignment="1">
      <x:alignment horizontal="left" vertical="center" wrapText="1"/>
    </x:xf>
    <x:xf numFmtId="0" fontId="0" fillId="6" borderId="1" xfId="0" applyNumberFormat="1" applyFont="1" applyFill="1" applyBorder="1"/>
    <x:xf numFmtId="0" fontId="10" fillId="6" borderId="1" xfId="0" applyNumberFormat="1" applyFont="1" applyFill="1" applyBorder="1"/>
    <x:xf numFmtId="0" fontId="10" fillId="6" borderId="1" xfId="0" applyNumberFormat="1" applyFont="1" applyFill="1" applyBorder="1" applyAlignment="1">
      <x:alignment wrapText="1"/>
    </x:xf>
    <x:xf numFmtId="0" fontId="10" fillId="6" borderId="1" xfId="0" applyNumberFormat="1" applyFont="1" applyFill="1" applyBorder="1" applyAlignment="1">
      <x:alignment horizontal="left" wrapText="1"/>
    </x:xf>
    <x:xf numFmtId="0" fontId="10" fillId="6" borderId="1" xfId="0" applyNumberFormat="1" applyFont="1" applyFill="1" applyBorder="1" applyAlignment="1">
      <x:alignment horizontal="left" vertical="center" wrapText="1"/>
    </x:xf>
    <x:xf numFmtId="202" fontId="9" fillId="0" borderId="0" xfId="0" applyNumberFormat="1" applyFont="1" applyFill="1" applyBorder="1" applyAlignment="1">
      <x:alignment horizontal="right" vertical="center"/>
    </x:xf>
    <x:xf numFmtId="202" fontId="9" fillId="0" borderId="1" xfId="0" applyNumberFormat="1" applyFont="1" applyFill="1" applyBorder="1" applyAlignment="1">
      <x:alignment horizontal="righ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vertical="center"/>
    </x:xf>
    <x:xf numFmtId="0" fontId="0"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vertical="center"/>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center" wrapText="1"/>
    </x:xf>
    <x:xf numFmtId="201" fontId="9" fillId="0" borderId="0" xfId="0" applyNumberFormat="1" applyFont="1" applyFill="1" applyBorder="1" applyAlignment="1">
      <x:alignment horizontal="right" vertical="center"/>
    </x:xf>
    <x:xf numFmtId="201" fontId="9" fillId="0" borderId="1" xfId="0" applyNumberFormat="1" applyFont="1" applyFill="1" applyBorder="1" applyAlignment="1">
      <x:alignment horizontal="righ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5" fillId="0" borderId="2" xfId="0" applyNumberFormat="1" applyFont="1" applyFill="1" applyBorder="1" applyAlignment="1">
      <x:alignment vertical="center"/>
    </x:xf>
    <x:xf numFmtId="200" fontId="9" fillId="0" borderId="3" xfId="0" applyNumberFormat="1" applyFont="1" applyFill="1" applyBorder="1" applyAlignment="1">
      <x:alignment horizontal="right" vertical="center"/>
    </x:xf>
    <x:xf numFmtId="0" fontId="7" fillId="0" borderId="3" xfId="0" applyNumberFormat="1" applyFont="1" applyFill="1" applyBorder="1"/>
    <x:xf numFmtId="0" fontId="5" fillId="0" borderId="3" xfId="0" applyNumberFormat="1" applyFont="1" applyFill="1" applyBorder="1" applyAlignment="1">
      <x:alignment vertical="center"/>
    </x:xf>
    <x:xf numFmtId="203" fontId="9" fillId="0" borderId="3" xfId="0" applyNumberFormat="1" applyFont="1" applyFill="1" applyBorder="1" applyAlignment="1">
      <x:alignment horizontal="right" vertical="center"/>
    </x:xf>
    <x:xf numFmtId="0" fontId="7" fillId="0" borderId="4" xfId="0" applyNumberFormat="1" applyFont="1" applyFill="1" applyBorder="1"/>
    <x:xf numFmtId="0" fontId="5" fillId="0" borderId="5" xfId="0" applyNumberFormat="1" applyFont="1" applyFill="1" applyBorder="1" applyAlignment="1">
      <x:alignment vertical="center"/>
    </x:xf>
    <x:xf numFmtId="0" fontId="7" fillId="0" borderId="6" xfId="0" applyNumberFormat="1" applyFont="1" applyFill="1" applyBorder="1"/>
    <x:xf numFmtId="0" fontId="5" fillId="0" borderId="7" xfId="0" applyNumberFormat="1" applyFont="1" applyFill="1" applyBorder="1" applyAlignment="1">
      <x:alignment vertical="center"/>
    </x:xf>
    <x:xf numFmtId="203" fontId="9" fillId="0" borderId="8" xfId="0" applyNumberFormat="1" applyFont="1" applyFill="1" applyBorder="1" applyAlignment="1">
      <x:alignment horizontal="right" vertical="center"/>
    </x:xf>
    <x:xf numFmtId="0" fontId="7" fillId="0" borderId="8" xfId="0" applyNumberFormat="1" applyFont="1" applyFill="1" applyBorder="1"/>
    <x:xf numFmtId="0" fontId="5" fillId="0" borderId="8" xfId="0" applyNumberFormat="1" applyFont="1" applyFill="1" applyBorder="1" applyAlignment="1">
      <x:alignment vertical="center"/>
    </x:xf>
    <x:xf numFmtId="0" fontId="9" fillId="0" borderId="8" xfId="0" applyNumberFormat="1" applyFont="1" applyFill="1" applyBorder="1" applyAlignment="1">
      <x:alignment horizontal="right" vertical="center"/>
    </x:xf>
    <x:xf numFmtId="0" fontId="7" fillId="0" borderId="9" xfId="0" applyNumberFormat="1" applyFont="1" applyFill="1" applyBorder="1"/>
    <x:xf numFmtId="0" fontId="5" fillId="0" borderId="10" xfId="0" applyNumberFormat="1" applyFont="1" applyFill="1" applyBorder="1" applyAlignment="1">
      <x:alignment vertical="center"/>
    </x:xf>
    <x:xf numFmtId="200" fontId="9" fillId="0" borderId="11" xfId="0" applyNumberFormat="1" applyFont="1" applyFill="1" applyBorder="1" applyAlignment="1">
      <x:alignment horizontal="right" vertical="center"/>
    </x:xf>
    <x:xf numFmtId="0" fontId="7" fillId="0" borderId="11" xfId="0" applyNumberFormat="1" applyFont="1" applyFill="1" applyBorder="1"/>
    <x:xf numFmtId="0" fontId="5" fillId="0" borderId="11" xfId="0" applyNumberFormat="1" applyFont="1" applyFill="1" applyBorder="1" applyAlignment="1">
      <x:alignment vertical="center"/>
    </x:xf>
    <x:xf numFmtId="203" fontId="9" fillId="0" borderId="11" xfId="0" applyNumberFormat="1" applyFont="1" applyFill="1" applyBorder="1" applyAlignment="1">
      <x:alignment horizontal="right" vertical="center"/>
    </x:xf>
    <x:xf numFmtId="0" fontId="7" fillId="0" borderId="12" xfId="0" applyNumberFormat="1" applyFont="1" applyFill="1" applyBorder="1"/>
    <x:xf numFmtId="0" fontId="5" fillId="0" borderId="13" xfId="0" applyNumberFormat="1" applyFont="1" applyFill="1" applyBorder="1" applyAlignment="1">
      <x:alignment vertical="center"/>
    </x:xf>
    <x:xf numFmtId="0" fontId="7" fillId="0" borderId="14" xfId="0" applyNumberFormat="1" applyFont="1" applyFill="1" applyBorder="1"/>
    <x:xf numFmtId="0" fontId="5" fillId="0" borderId="15" xfId="0" applyNumberFormat="1" applyFont="1" applyFill="1" applyBorder="1" applyAlignment="1">
      <x:alignment vertical="center"/>
    </x:xf>
    <x:xf numFmtId="203" fontId="9" fillId="0" borderId="16" xfId="0" applyNumberFormat="1" applyFont="1" applyFill="1" applyBorder="1" applyAlignment="1">
      <x:alignment horizontal="right" vertical="center"/>
    </x:xf>
    <x:xf numFmtId="0" fontId="7" fillId="0" borderId="16" xfId="0" applyNumberFormat="1" applyFont="1" applyFill="1" applyBorder="1"/>
    <x:xf numFmtId="0" fontId="5" fillId="0" borderId="16" xfId="0" applyNumberFormat="1" applyFont="1" applyFill="1" applyBorder="1" applyAlignment="1">
      <x:alignment vertical="center"/>
    </x:xf>
    <x:xf numFmtId="0" fontId="9" fillId="0" borderId="16" xfId="0" applyNumberFormat="1" applyFont="1" applyFill="1" applyBorder="1" applyAlignment="1">
      <x:alignment horizontal="right" vertical="center"/>
    </x:xf>
    <x:xf numFmtId="0" fontId="7" fillId="0" borderId="17" xfId="0" applyNumberFormat="1" applyFont="1" applyFill="1" applyBorder="1"/>
    <x:xf numFmtId="203" fontId="9" fillId="0" borderId="6" xfId="0" applyNumberFormat="1" applyFont="1" applyFill="1" applyBorder="1" applyAlignment="1">
      <x:alignment horizontal="right" vertical="center"/>
    </x:xf>
    <x:xf numFmtId="202" fontId="9" fillId="0" borderId="8" xfId="0" applyNumberFormat="1" applyFont="1" applyFill="1" applyBorder="1" applyAlignment="1">
      <x:alignment horizontal="right" vertical="center"/>
    </x:xf>
    <x:xf numFmtId="203" fontId="9" fillId="0" borderId="9" xfId="0" applyNumberFormat="1" applyFont="1" applyFill="1" applyBorder="1" applyAlignment="1">
      <x:alignment horizontal="right" vertical="center"/>
    </x:xf>
    <x:xf numFmtId="203" fontId="9" fillId="0" borderId="14" xfId="0" applyNumberFormat="1" applyFont="1" applyFill="1" applyBorder="1" applyAlignment="1">
      <x:alignment horizontal="right" vertical="center"/>
    </x:xf>
    <x:xf numFmtId="202" fontId="9" fillId="0" borderId="16" xfId="0" applyNumberFormat="1" applyFont="1" applyFill="1" applyBorder="1" applyAlignment="1">
      <x:alignment horizontal="right" vertical="center"/>
    </x:xf>
    <x:xf numFmtId="203" fontId="9" fillId="0" borderId="17" xfId="0" applyNumberFormat="1" applyFont="1" applyFill="1" applyBorder="1" applyAlignment="1">
      <x:alignment horizontal="right" vertical="center"/>
    </x:xf>
    <x:xf numFmtId="0" fontId="10" fillId="7" borderId="2" xfId="0" applyNumberFormat="1" applyFont="1" applyFill="1" applyBorder="1" applyAlignment="1">
      <x:alignment vertical="center"/>
    </x:xf>
    <x:xf numFmtId="0" fontId="11" fillId="0" borderId="3" xfId="0" applyNumberFormat="1" applyFont="1" applyFill="1" applyBorder="1" applyAlignment="1">
      <x:alignment vertical="center" wrapText="1"/>
    </x:xf>
    <x:xf numFmtId="0" fontId="11" fillId="0" borderId="4" xfId="0" applyNumberFormat="1" applyFont="1" applyFill="1" applyBorder="1" applyAlignment="1">
      <x:alignment vertical="center" wrapText="1"/>
    </x:xf>
    <x:xf numFmtId="0" fontId="10" fillId="7" borderId="5" xfId="0" applyNumberFormat="1" applyFont="1" applyFill="1" applyBorder="1" applyAlignment="1">
      <x:alignment vertical="center"/>
    </x:xf>
    <x:xf numFmtId="0" fontId="11" fillId="0" borderId="6" xfId="0" applyNumberFormat="1" applyFont="1" applyFill="1" applyBorder="1" applyAlignment="1">
      <x:alignment vertical="center" wrapText="1"/>
    </x:xf>
    <x:xf numFmtId="0" fontId="10" fillId="7" borderId="7" xfId="0" applyNumberFormat="1" applyFont="1" applyFill="1" applyBorder="1" applyAlignment="1">
      <x:alignment vertical="center"/>
    </x:xf>
    <x:xf numFmtId="0" fontId="11" fillId="0" borderId="8"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0" fontId="10" fillId="7" borderId="10" xfId="0" applyNumberFormat="1" applyFont="1" applyFill="1" applyBorder="1" applyAlignment="1">
      <x:alignment vertical="center"/>
    </x:xf>
    <x:xf numFmtId="0" fontId="11" fillId="0" borderId="11" xfId="0" applyNumberFormat="1" applyFont="1" applyFill="1" applyBorder="1" applyAlignment="1">
      <x:alignment vertical="center" wrapText="1"/>
    </x:xf>
    <x:xf numFmtId="0" fontId="11" fillId="0" borderId="12" xfId="0" applyNumberFormat="1" applyFont="1" applyFill="1" applyBorder="1" applyAlignment="1">
      <x:alignment vertical="center" wrapText="1"/>
    </x:xf>
    <x:xf numFmtId="0" fontId="10" fillId="7" borderId="13" xfId="0" applyNumberFormat="1" applyFont="1" applyFill="1" applyBorder="1" applyAlignment="1">
      <x:alignment vertical="center"/>
    </x:xf>
    <x:xf numFmtId="0" fontId="11" fillId="0" borderId="14" xfId="0" applyNumberFormat="1" applyFont="1" applyFill="1" applyBorder="1" applyAlignment="1">
      <x:alignment vertical="center" wrapText="1"/>
    </x:xf>
    <x:xf numFmtId="0" fontId="10" fillId="7" borderId="15" xfId="0" applyNumberFormat="1" applyFont="1" applyFill="1" applyBorder="1" applyAlignment="1">
      <x:alignment vertical="center"/>
    </x:xf>
    <x:xf numFmtId="0" fontId="11" fillId="0" borderId="16" xfId="0" applyNumberFormat="1" applyFont="1" applyFill="1" applyBorder="1" applyAlignment="1">
      <x:alignment vertical="center" wrapText="1"/>
    </x:xf>
    <x:xf numFmtId="0" fontId="11" fillId="0" borderId="17" xfId="0" applyNumberFormat="1" applyFont="1" applyFill="1" applyBorder="1" applyAlignment="1">
      <x:alignment vertical="center" wrapText="1"/>
    </x:xf>
    <x:xf numFmtId="201" fontId="9" fillId="0" borderId="5" xfId="0" applyNumberFormat="1" applyFont="1" applyFill="1" applyBorder="1" applyAlignment="1">
      <x:alignment horizontal="right" vertical="center"/>
    </x:xf>
    <x:xf numFmtId="201" fontId="9" fillId="0" borderId="7" xfId="0" applyNumberFormat="1" applyFont="1" applyFill="1" applyBorder="1" applyAlignment="1">
      <x:alignment horizontal="right" vertical="center"/>
    </x:xf>
    <x:xf numFmtId="201" fontId="9" fillId="0" borderId="13" xfId="0" applyNumberFormat="1" applyFont="1" applyFill="1" applyBorder="1" applyAlignment="1">
      <x:alignment horizontal="right" vertical="center"/>
    </x:xf>
    <x:xf numFmtId="201" fontId="9" fillId="0" borderId="15" xfId="0" applyNumberFormat="1" applyFont="1" applyFill="1" applyBorder="1" applyAlignment="1">
      <x:alignment horizontal="right" vertical="center"/>
    </x:xf>
    <x:xf numFmtId="0" fontId="0" fillId="0" borderId="5" xfId="0" applyNumberFormat="1" applyFont="1" applyFill="1" applyBorder="1"/>
    <x:xf numFmtId="0" fontId="0" fillId="0" borderId="7" xfId="0" applyNumberFormat="1" applyFont="1" applyFill="1" applyBorder="1"/>
    <x:xf numFmtId="0" fontId="0" fillId="0" borderId="13" xfId="0" applyNumberFormat="1" applyFont="1" applyFill="1" applyBorder="1"/>
    <x:xf numFmtId="0" fontId="0" fillId="0" borderId="15" xfId="0" applyNumberFormat="1" applyFont="1" applyFill="1" applyBorder="1"/>
    <x:xf numFmtId="0" fontId="5" fillId="0" borderId="2" xfId="0" applyNumberFormat="1" applyFont="1" applyFill="1" applyBorder="1" applyAlignment="1">
      <x:alignment vertical="center" wrapText="1"/>
    </x:xf>
    <x:xf numFmtId="200" fontId="9" fillId="0" borderId="3" xfId="0" applyNumberFormat="1" applyFont="1" applyFill="1" applyBorder="1" applyAlignment="1">
      <x:alignment horizontal="right" vertical="center" wrapText="1"/>
    </x:xf>
    <x:xf numFmtId="0" fontId="7" fillId="0" borderId="3" xfId="0" applyNumberFormat="1" applyFont="1" applyFill="1" applyBorder="1" applyAlignment="1">
      <x:alignment wrapText="1"/>
    </x:xf>
    <x:xf numFmtId="0" fontId="5" fillId="0" borderId="3" xfId="0" applyNumberFormat="1" applyFont="1" applyFill="1" applyBorder="1" applyAlignment="1">
      <x:alignment vertical="center" wrapText="1"/>
    </x:xf>
    <x:xf numFmtId="203" fontId="9" fillId="0" borderId="3" xfId="0" applyNumberFormat="1" applyFont="1" applyFill="1" applyBorder="1" applyAlignment="1">
      <x:alignment horizontal="right" vertical="center" wrapText="1"/>
    </x:xf>
    <x:xf numFmtId="0" fontId="7" fillId="0" borderId="4" xfId="0" applyNumberFormat="1" applyFont="1" applyFill="1" applyBorder="1" applyAlignment="1">
      <x:alignment wrapText="1"/>
    </x:xf>
    <x:xf numFmtId="203" fontId="9" fillId="0" borderId="0" xfId="0" applyNumberFormat="1" applyFont="1" applyFill="1" applyBorder="1" applyAlignment="1">
      <x:alignment horizontal="right" vertical="center" wrapText="1"/>
    </x:xf>
    <x:xf numFmtId="203" fontId="9" fillId="0" borderId="8" xfId="0" applyNumberFormat="1" applyFont="1" applyFill="1" applyBorder="1" applyAlignment="1">
      <x:alignment horizontal="right" vertical="center" wrapText="1"/>
    </x:xf>
    <x:xf numFmtId="0" fontId="7" fillId="0" borderId="8" xfId="0" applyNumberFormat="1" applyFont="1" applyFill="1" applyBorder="1" applyAlignment="1">
      <x:alignment wrapText="1"/>
    </x:xf>
    <x:xf numFmtId="0" fontId="5" fillId="0" borderId="8" xfId="0" applyNumberFormat="1" applyFont="1" applyFill="1" applyBorder="1" applyAlignment="1">
      <x:alignment vertical="center" wrapText="1"/>
    </x:xf>
    <x:xf numFmtId="0" fontId="9" fillId="0" borderId="8" xfId="0" applyNumberFormat="1" applyFont="1" applyFill="1" applyBorder="1" applyAlignment="1">
      <x:alignment horizontal="right" vertical="center" wrapText="1"/>
    </x:xf>
    <x:xf numFmtId="0" fontId="10" fillId="7" borderId="2" xfId="0" applyNumberFormat="1" applyFont="1" applyFill="1" applyBorder="1" applyAlignment="1">
      <x:alignment vertical="center" wrapText="1"/>
    </x:xf>
    <x:xf numFmtId="202" fontId="9" fillId="0" borderId="0" xfId="0" applyNumberFormat="1" applyFont="1" applyFill="1" applyBorder="1" applyAlignment="1">
      <x:alignment horizontal="right" vertical="center" wrapText="1"/>
    </x:xf>
    <x:xf numFmtId="203" fontId="9" fillId="0" borderId="6" xfId="0" applyNumberFormat="1" applyFont="1" applyFill="1" applyBorder="1" applyAlignment="1">
      <x:alignment horizontal="right" vertical="center" wrapText="1"/>
    </x:xf>
    <x:xf numFmtId="0" fontId="10" fillId="7" borderId="5" xfId="0" applyNumberFormat="1" applyFont="1" applyFill="1" applyBorder="1" applyAlignment="1">
      <x:alignment vertical="center" wrapText="1"/>
    </x:xf>
    <x:xf numFmtId="202" fontId="9" fillId="0" borderId="8" xfId="0" applyNumberFormat="1" applyFont="1" applyFill="1" applyBorder="1" applyAlignment="1">
      <x:alignment horizontal="right" vertical="center" wrapText="1"/>
    </x:xf>
    <x:xf numFmtId="203" fontId="9" fillId="0" borderId="9" xfId="0" applyNumberFormat="1" applyFont="1" applyFill="1" applyBorder="1" applyAlignment="1">
      <x:alignment horizontal="right" vertical="center" wrapText="1"/>
    </x:xf>
    <x:xf numFmtId="0" fontId="10" fillId="7" borderId="7" xfId="0" applyNumberFormat="1" applyFont="1" applyFill="1" applyBorder="1" applyAlignment="1">
      <x:alignment vertical="center" wrapText="1"/>
    </x:xf>
    <x:xf numFmtId="0" fontId="0" fillId="0" borderId="5" xfId="0" applyNumberFormat="1" applyFont="1" applyFill="1" applyBorder="1" applyAlignment="1">
      <x:alignment wrapText="1"/>
    </x:xf>
    <x:xf numFmtId="201" fontId="9" fillId="0" borderId="5" xfId="0" applyNumberFormat="1" applyFont="1" applyFill="1" applyBorder="1" applyAlignment="1">
      <x:alignment horizontal="right" vertical="center" wrapText="1"/>
    </x:xf>
    <x:xf numFmtId="0" fontId="0" fillId="0" borderId="7" xfId="0" applyNumberFormat="1" applyFont="1" applyFill="1" applyBorder="1" applyAlignment="1">
      <x:alignment wrapText="1"/>
    </x:xf>
    <x:xf numFmtId="201" fontId="9" fillId="0" borderId="7"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f5797057684c16" /><Relationship Type="http://schemas.openxmlformats.org/officeDocument/2006/relationships/theme" Target="/xl/theme/theme1.xml" Id="Rba499e4838a742c5" /><Relationship Type="http://schemas.openxmlformats.org/officeDocument/2006/relationships/sharedStrings" Target="/xl/sharedStrings.xml" Id="R54c4e7fcfdd04477" /><Relationship Type="http://schemas.openxmlformats.org/officeDocument/2006/relationships/worksheet" Target="/xl/worksheets/sheet1.xml" Id="Rab32759e91fd47f4" /><Relationship Type="http://schemas.openxmlformats.org/officeDocument/2006/relationships/worksheet" Target="/xl/worksheets/sheet2.xml" Id="R7a8a2bf36b7f48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2fea07cc9e400f" /><Relationship Type="http://schemas.openxmlformats.org/officeDocument/2006/relationships/chart" Target="/xl/drawings/charts/chart2.xml" Id="R87ac926cccc24849" /><Relationship Type="http://schemas.openxmlformats.org/officeDocument/2006/relationships/chart" Target="/xl/drawings/charts/chart3.xml" Id="R4aa7f4dce8a247a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Subscription revenue market at €200 per adviser per month</a:t>
            </a:r>
          </a:p>
        </c:rich>
      </c:tx>
      <c:overlay val="0"/>
    </c:title>
    <c:autoTitleDeleted val="0"/>
    <c:plotArea>
      <c:layout/>
      <c:barChart>
        <c:barDir val="col"/>
        <c:varyColors val="0"/>
        <c:ser>
          <c:idx val="0"/>
          <c:order val="0"/>
          <c:tx>
            <c:v>TAM revenue</c:v>
          </c:tx>
          <c:cat>
            <c:strRef>
              <c:f>'Summary'!$J$18:$J$20</c:f>
              <c:strCache>
                <c:ptCount val="0"/>
              </c:strCache>
            </c:strRef>
          </c:cat>
          <c:val>
            <c:numRef>
              <c:f>'Summary'!$K$18:$K$20</c:f>
              <c:numCache>
                <c:formatCode>€#,##0;[Red](€#,##0);-</c:formatCode>
                <c:ptCount val="0"/>
              </c:numCache>
            </c:numRef>
          </c:val>
        </c:ser>
        <c:ser>
          <c:idx val="1"/>
          <c:order val="1"/>
          <c:tx>
            <c:v>SAM revenue</c:v>
          </c:tx>
          <c:cat>
            <c:strRef>
              <c:f>'Summary'!$J$18:$J$20</c:f>
              <c:strCache>
                <c:ptCount val="0"/>
              </c:strCache>
            </c:strRef>
          </c:cat>
          <c:val>
            <c:numRef>
              <c:f>'Summary'!$L$18:$L$20</c:f>
              <c:numCache>
                <c:formatCode>€#,##0;[Red](€#,##0);-</c:formatCode>
                <c:ptCount val="0"/>
              </c:numCache>
            </c:numRef>
          </c:val>
        </c:ser>
        <c:ser>
          <c:idx val="2"/>
          <c:order val="2"/>
          <c:tx>
            <c:v>SOM revenue</c:v>
          </c:tx>
          <c:cat>
            <c:strRef>
              <c:f>'Summary'!$J$18:$J$20</c:f>
              <c:strCache>
                <c:ptCount val="0"/>
              </c:strCache>
            </c:strRef>
          </c:cat>
          <c:val>
            <c:numRef>
              <c:f>'Summary'!$M$18:$M$20</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quot;m&quot;"/>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Annual economics per adviser — base case</a:t>
            </a:r>
          </a:p>
        </c:rich>
      </c:tx>
      <c:overlay val="0"/>
    </c:title>
    <c:autoTitleDeleted val="0"/>
    <c:plotArea>
      <c:layout/>
      <c:barChart>
        <c:barDir val="col"/>
        <c:varyColors val="0"/>
        <c:ser>
          <c:idx val="0"/>
          <c:order val="0"/>
          <c:tx>
            <c:v>Annual € value</c:v>
          </c:tx>
          <c:cat>
            <c:strRef>
              <c:f>'Summary'!$F$19:$F$21</c:f>
              <c:strCache>
                <c:ptCount val="0"/>
              </c:strCache>
            </c:strRef>
          </c:cat>
          <c:val>
            <c:numRef>
              <c:f>'Summary'!$G$19:$G$21</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Savings sensitivity to workload reduction</a:t>
            </a:r>
          </a:p>
        </c:rich>
      </c:tx>
      <c:overlay val="0"/>
    </c:title>
    <c:autoTitleDeleted val="0"/>
    <c:plotArea>
      <c:layout/>
      <c:lineChart>
        <c:grouping val="standard"/>
        <c:ser>
          <c:idx val="0"/>
          <c:order val="0"/>
          <c:tx>
            <c:v>Saving per cycle</c:v>
          </c:tx>
          <c:cat>
            <c:strRef>
              <c:f>'Summary'!$A$19:$A$21</c:f>
              <c:strCache>
                <c:ptCount val="0"/>
              </c:strCache>
            </c:strRef>
          </c:cat>
          <c:val>
            <c:numRef>
              <c:f>'Summary'!$B$19:$B$21</c:f>
              <c:numCache>
                <c:formatCode>€#,##0;[Red](€#,##0);-</c:formatCode>
                <c:ptCount val="0"/>
              </c:numCache>
            </c:numRef>
          </c:val>
          <c:smooth val="0"/>
        </c:ser>
        <c:ser>
          <c:idx val="1"/>
          <c:order val="1"/>
          <c:tx>
            <c:v>Saving per converted client</c:v>
          </c:tx>
          <c:cat>
            <c:strRef>
              <c:f>'Summary'!$A$19:$A$21</c:f>
              <c:strCache>
                <c:ptCount val="0"/>
              </c:strCache>
            </c:strRef>
          </c:cat>
          <c:val>
            <c:numRef>
              <c:f>'Summary'!$C$19:$C$21</c:f>
              <c:numCache>
                <c:formatCode>€#,##0;[Red](€#,##0);-</c:formatCode>
                <c:ptCount val="0"/>
              </c:numCache>
            </c:numRef>
          </c:val>
          <c:smooth val="0"/>
        </c:ser>
        <c:ser>
          <c:idx val="2"/>
          <c:order val="2"/>
          <c:tx>
            <c:v>Annual saving per adviser</c:v>
          </c:tx>
          <c:cat>
            <c:strRef>
              <c:f>'Summary'!$A$19:$A$21</c:f>
              <c:strCache>
                <c:ptCount val="0"/>
              </c:strCache>
            </c:strRef>
          </c:cat>
          <c:val>
            <c:numRef>
              <c:f>'Summary'!$D$19:$D$21</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28</xdr:row>
      <xdr:rowOff>0</xdr:rowOff>
    </xdr:from>
    <xdr:to>
      <xdr:col>8</xdr:col>
      <xdr:colOff>0</xdr:colOff>
      <xdr:row>46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2fea07cc9e400f"/>
        </a:graphicData>
      </a:graphic>
    </xdr:graphicFrame>
    <xdr:clientData/>
  </xdr:twoCellAnchor>
  <xdr:twoCellAnchor>
    <xdr:from>
      <xdr:col>8</xdr:col>
      <xdr:colOff>0</xdr:colOff>
      <xdr:row>28</xdr:row>
      <xdr:rowOff>0</xdr:rowOff>
    </xdr:from>
    <xdr:to>
      <xdr:col>14</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ac926cccc24849"/>
        </a:graphicData>
      </a:graphic>
    </xdr:graphicFrame>
    <xdr:clientData/>
  </xdr:twoCellAnchor>
  <xdr:twoCellAnchor>
    <xdr:from>
      <xdr:col>0</xdr:col>
      <xdr:colOff>0</xdr:colOff>
      <xdr:row>47</xdr:row>
      <xdr:rowOff>0</xdr:rowOff>
    </xdr:from>
    <xdr:to>
      <xdr:col>14</xdr:col>
      <xdr:colOff>0</xdr:colOff>
      <xdr:row>66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a7f4dce8a247a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4a269040ceb4044" /></Relationships>
</file>

<file path=xl/worksheets/sheet1.xml><?xml version="1.0" encoding="utf-8"?>
<x:worksheet xmlns:x="http://schemas.openxmlformats.org/spreadsheetml/2006/main">
  <x:sheetFormatPr defaultRowHeight="15"/>
  <x:cols>
    <x:col min="1" max="1" width="40" hidden="0" customWidth="1"/>
    <x:col min="2" max="2" width="15" hidden="0" customWidth="1"/>
    <x:col min="3" max="3" width="18" hidden="0" customWidth="1"/>
    <x:col min="4" max="4" width="13" hidden="0" customWidth="1"/>
    <x:col min="5" max="5" width="13" hidden="0" customWidth="1"/>
    <x:col min="6" max="6" width="13" hidden="0" customWidth="1"/>
    <x:col min="7" max="7" width="48" hidden="0" customWidth="1"/>
    <x:col min="8" max="8" width="52" hidden="0" customWidth="1"/>
    <x:col min="10" max="10" width="14" hidden="0" customWidth="1"/>
    <x:col min="11" max="11" width="21" hidden="0" customWidth="1"/>
    <x:col min="12" max="12" width="21" hidden="0" customWidth="1"/>
    <x:col min="13" max="13" width="21" hidden="0" customWidth="1"/>
  </x:cols>
  <x:sheetData>
    <x:row r="1" ht="32" customHeight="1">
      <x:c r="A1" s="84" t="str">
        <x:v>Planéir Fact-Find Economics Model — Assumptions</x:v>
      </x:c>
      <x:c r="B1" s="84"/>
      <x:c r="C1" s="84"/>
      <x:c r="D1" s="84"/>
      <x:c r="E1" s="84"/>
      <x:c r="F1" s="84"/>
      <x:c r="G1" s="84"/>
      <x:c r="H1" s="84"/>
      <x:c r="I1" s="85"/>
      <x:c r="J1" s="85"/>
      <x:c r="K1" s="85"/>
      <x:c r="L1" s="85"/>
      <x:c r="M1" s="85"/>
    </x:row>
    <x:row r="2" ht="20" customHeight="1">
      <x:c r="A2" s="86" t="str">
        <x:v>Blue font = editable input | Black = formula | Green = cross-sheet link | Yellow = key scenario input</x:v>
      </x:c>
      <x:c r="B2" s="86"/>
      <x:c r="C2" s="86"/>
      <x:c r="D2" s="86"/>
      <x:c r="E2" s="86"/>
      <x:c r="F2" s="86"/>
      <x:c r="G2" s="86"/>
      <x:c r="H2" s="86"/>
      <x:c r="I2" s="85"/>
      <x:c r="J2" s="85"/>
      <x:c r="K2" s="85"/>
      <x:c r="L2" s="85"/>
      <x:c r="M2" s="85"/>
    </x:row>
    <x:row r="3">
      <x:c r="A3" s="87" t="str">
        <x:v>Editable Operating Assumptions</x:v>
      </x:c>
      <x:c r="B3" s="87"/>
      <x:c r="C3" s="87"/>
      <x:c r="D3" s="87"/>
      <x:c r="E3" s="87"/>
      <x:c r="F3" s="87"/>
      <x:c r="G3" s="87"/>
      <x:c r="H3" s="87"/>
      <x:c r="I3" s="85"/>
      <x:c r="J3" s="87" t="str">
        <x:v>Planéir Time-Reduction Sensitivity</x:v>
      </x:c>
      <x:c r="K3" s="87"/>
      <x:c r="L3" s="87"/>
      <x:c r="M3" s="87"/>
    </x:row>
    <x:row r="4" ht="28" customHeight="1">
      <x:c r="A4" s="118" t="str">
        <x:v>Metric</x:v>
      </x:c>
      <x:c r="B4" s="119" t="str">
        <x:v>Base case</x:v>
      </x:c>
      <x:c r="C4" s="119" t="str">
        <x:v>Unit</x:v>
      </x:c>
      <x:c r="D4" s="119" t="str">
        <x:v>Low case</x:v>
      </x:c>
      <x:c r="E4" s="119" t="str">
        <x:v>High case</x:v>
      </x:c>
      <x:c r="F4" s="119" t="str">
        <x:v>Confidence</x:v>
      </x:c>
      <x:c r="G4" s="119" t="str">
        <x:v>Source URL</x:v>
      </x:c>
      <x:c r="H4" s="120" t="str">
        <x:v>Notes</x:v>
      </x:c>
      <x:c r="I4" s="85"/>
      <x:c r="J4" s="118" t="str">
        <x:v>Reduction</x:v>
      </x:c>
      <x:c r="K4" s="119" t="str">
        <x:v>Saving per cycle</x:v>
      </x:c>
      <x:c r="L4" s="119" t="str">
        <x:v>Saving per converted client</x:v>
      </x:c>
      <x:c r="M4" s="120" t="str">
        <x:v>Annual saving per adviser</x:v>
      </x:c>
    </x:row>
    <x:row r="5" ht="48" customHeight="1">
      <x:c r="A5" s="121" t="str">
        <x:v>Fact-find meeting time</x:v>
      </x:c>
      <x:c r="B5" s="89" t="n">
        <x:v>1.25</x:v>
      </x:c>
      <x:c r="C5" s="85" t="str">
        <x:v>hours</x:v>
      </x:c>
      <x:c r="D5" s="89" t="n">
        <x:v>0.75</x:v>
      </x:c>
      <x:c r="E5" s="89" t="n">
        <x:v>1.5</x:v>
      </x:c>
      <x:c r="F5" s="90" t="str">
        <x:v>Medium</x:v>
      </x:c>
      <x:c r="G5" s="48" t="str">
        <x:v>https://www.irishlife.ie/blog/what-to-expect-in-your-call-with-a-financial-advisor/</x:v>
      </x:c>
      <x:c r="H5" s="122" t="str">
        <x:v>Irish public examples cluster around 30–90 minutes; 75 minutes is the modelling midpoint.</x:v>
      </x:c>
      <x:c r="I5" s="85"/>
      <x:c r="J5" s="152" t="n">
        <x:v>0.25</x:v>
      </x:c>
      <x:c r="K5" s="92" t="n">
        <x:f>$B$43*J5</x:f>
        <x:v>51.50222498855311</x:v>
      </x:c>
      <x:c r="L5" s="92" t="n">
        <x:f>K5/$B$9</x:f>
        <x:v>171.67408329517704</x:v>
      </x:c>
      <x:c r="M5" s="153" t="n">
        <x:f>K5*$B$10</x:f>
        <x:v>1236.0533997252746</x:v>
      </x:c>
    </x:row>
    <x:row r="6" ht="48" customHeight="1">
      <x:c r="A6" s="121" t="str">
        <x:v>Post-meeting analysis, notes and suitability work</x:v>
      </x:c>
      <x:c r="B6" s="89" t="n">
        <x:v>2.5</x:v>
      </x:c>
      <x:c r="C6" s="85" t="str">
        <x:v>hours</x:v>
      </x:c>
      <x:c r="D6" s="89" t="n">
        <x:v>1.4</x:v>
      </x:c>
      <x:c r="E6" s="89" t="n">
        <x:v>4</x:v>
      </x:c>
      <x:c r="F6" s="90" t="str">
        <x:v>Medium</x:v>
      </x:c>
      <x:c r="G6" s="48" t="str">
        <x:v>https://www.oxera.com/wp-content/uploads/2018/03/Assessment-of-benefits-of-FSA-suitability-letter.pdf</x:v>
      </x:c>
      <x:c r="H6" s="122" t="str">
        <x:v>Includes analysis, CRM updates, suitability drafting and follow-up. 1.4 hours is an observed suitability-letter benchmark, with extra workflow time added.</x:v>
      </x:c>
      <x:c r="I6" s="85"/>
      <x:c r="J6" s="152" t="n">
        <x:v>0.5</x:v>
      </x:c>
      <x:c r="K6" s="92" t="n">
        <x:f>$B$43*J6</x:f>
        <x:v>103.00444997710622</x:v>
      </x:c>
      <x:c r="L6" s="92" t="n">
        <x:f>K6/$B$9</x:f>
        <x:v>343.3481665903541</x:v>
      </x:c>
      <x:c r="M6" s="153" t="n">
        <x:f>K6*$B$10</x:f>
        <x:v>2472.1067994505493</x:v>
      </x:c>
    </x:row>
    <x:row r="7" ht="48" customHeight="1">
      <x:c r="A7" s="121" t="str">
        <x:v>Adviser hours per full cycle</x:v>
      </x:c>
      <x:c r="B7" s="89" t="n">
        <x:v>2</x:v>
      </x:c>
      <x:c r="C7" s="85" t="str">
        <x:v>hours</x:v>
      </x:c>
      <x:c r="D7" s="89" t="n">
        <x:v>1.25</x:v>
      </x:c>
      <x:c r="E7" s="89" t="n">
        <x:v>2.5</x:v>
      </x:c>
      <x:c r="F7" s="90" t="str">
        <x:v>Model</x:v>
      </x:c>
      <x:c r="G7" s="48" t="str">
        <x:v>Model assumption</x:v>
      </x:c>
      <x:c r="H7" s="122" t="str">
        <x:v>Allocated share of the total 3.75-hour workflow.</x:v>
      </x:c>
      <x:c r="I7" s="85"/>
      <x:c r="J7" s="154" t="n">
        <x:v>0.75</x:v>
      </x:c>
      <x:c r="K7" s="147" t="n">
        <x:f>$B$43*J7</x:f>
        <x:v>154.50667496565933</x:v>
      </x:c>
      <x:c r="L7" s="147" t="n">
        <x:f>K7/$B$9</x:f>
        <x:v>515.0222498855311</x:v>
      </x:c>
      <x:c r="M7" s="155" t="n">
        <x:f>K7*$B$10</x:f>
        <x:v>3708.160199175824</x:v>
      </x:c>
    </x:row>
    <x:row r="8" ht="48" customHeight="1">
      <x:c r="A8" s="121" t="str">
        <x:v>Support / paraplanner hours per full cycle</x:v>
      </x:c>
      <x:c r="B8" s="89" t="n">
        <x:v>1.75</x:v>
      </x:c>
      <x:c r="C8" s="85" t="str">
        <x:v>hours</x:v>
      </x:c>
      <x:c r="D8" s="89" t="n">
        <x:v>1</x:v>
      </x:c>
      <x:c r="E8" s="89" t="n">
        <x:v>2.5</x:v>
      </x:c>
      <x:c r="F8" s="90" t="str">
        <x:v>Model</x:v>
      </x:c>
      <x:c r="G8" s="48" t="str">
        <x:v>Model assumption</x:v>
      </x:c>
      <x:c r="H8" s="122" t="str">
        <x:v>Allocated share of the total 3.75-hour workflow.</x:v>
      </x:c>
      <x:c r="I8" s="85"/>
      <x:c r="J8" s="85"/>
      <x:c r="K8" s="85"/>
      <x:c r="L8" s="85"/>
      <x:c r="M8" s="85"/>
    </x:row>
    <x:row r="9" ht="48" customHeight="1">
      <x:c r="A9" s="121" t="str">
        <x:v>Lead-to-paying-client conversion</x:v>
      </x:c>
      <x:c r="B9" s="91" t="n">
        <x:v>0.3</x:v>
      </x:c>
      <x:c r="C9" s="85" t="str">
        <x:v>%</x:v>
      </x:c>
      <x:c r="D9" s="91" t="n">
        <x:v>0.25</x:v>
      </x:c>
      <x:c r="E9" s="91" t="n">
        <x:v>0.45</x:v>
      </x:c>
      <x:c r="F9" s="90" t="str">
        <x:v>Low–Medium</x:v>
      </x:c>
      <x:c r="G9" s="48" t="str">
        <x:v>https://www.kitces.com/blog/best-financial-planning-fee-pricing-based-on-conversion-close-rate/</x:v>
      </x:c>
      <x:c r="H9" s="122" t="str">
        <x:v>No regulator-grade Irish conversion statistic was found; broader adviser-practice benchmarks are used.</x:v>
      </x:c>
      <x:c r="I9" s="85"/>
      <x:c r="J9" s="85"/>
      <x:c r="K9" s="85"/>
      <x:c r="L9" s="85"/>
      <x:c r="M9" s="85"/>
    </x:row>
    <x:row r="10" ht="48" customHeight="1">
      <x:c r="A10" s="121" t="str">
        <x:v>Fact-find cycles per adviser per year</x:v>
      </x:c>
      <x:c r="B10" s="93" t="n">
        <x:v>24</x:v>
      </x:c>
      <x:c r="C10" s="85" t="str">
        <x:v>cases</x:v>
      </x:c>
      <x:c r="D10" s="93" t="n">
        <x:v>18</x:v>
      </x:c>
      <x:c r="E10" s="93" t="n">
        <x:v>36</x:v>
      </x:c>
      <x:c r="F10" s="90" t="str">
        <x:v>Low</x:v>
      </x:c>
      <x:c r="G10" s="48" t="str">
        <x:v>Model assumption</x:v>
      </x:c>
      <x:c r="H10" s="122" t="str">
        <x:v>Conservative annual new-client / material-review workflow assumption.</x:v>
      </x:c>
      <x:c r="I10" s="85"/>
      <x:c r="J10" s="85"/>
      <x:c r="K10" s="85"/>
      <x:c r="L10" s="85"/>
      <x:c r="M10" s="85"/>
    </x:row>
    <x:row r="11" ht="48" customHeight="1">
      <x:c r="A11" s="121" t="str">
        <x:v>Planéir time reduction</x:v>
      </x:c>
      <x:c r="B11" s="94" t="n">
        <x:v>0.5</x:v>
      </x:c>
      <x:c r="C11" s="85" t="str">
        <x:v>%</x:v>
      </x:c>
      <x:c r="D11" s="91" t="n">
        <x:v>0.25</x:v>
      </x:c>
      <x:c r="E11" s="91" t="n">
        <x:v>0.75</x:v>
      </x:c>
      <x:c r="F11" s="90" t="str">
        <x:v>Scenario</x:v>
      </x:c>
      <x:c r="G11" s="48" t="str">
        <x:v>Model assumption</x:v>
      </x:c>
      <x:c r="H11" s="122" t="str">
        <x:v>Reduction in fact-find and post-meeting workload; does not assume full removal of analysis.</x:v>
      </x:c>
      <x:c r="I11" s="85"/>
      <x:c r="J11" s="85"/>
      <x:c r="K11" s="85"/>
      <x:c r="L11" s="85"/>
      <x:c r="M11" s="85"/>
    </x:row>
    <x:row r="12" ht="48" customHeight="1">
      <x:c r="A12" s="121" t="str">
        <x:v>Monthly Planéir price per adviser</x:v>
      </x:c>
      <x:c r="B12" s="95" t="n">
        <x:v>200</x:v>
      </x:c>
      <x:c r="C12" s="85" t="str">
        <x:v>€ / adviser / month</x:v>
      </x:c>
      <x:c r="D12" s="96" t="n">
        <x:v>150</x:v>
      </x:c>
      <x:c r="E12" s="96" t="n">
        <x:v>300</x:v>
      </x:c>
      <x:c r="F12" s="90" t="str">
        <x:v>Strategy</x:v>
      </x:c>
      <x:c r="G12" s="48" t="str">
        <x:v>Prior Planéir pricing discussion</x:v>
      </x:c>
      <x:c r="H12" s="122" t="str">
        <x:v>Editable seat price used to align the revenue TAM/SAM/SOM model.</x:v>
      </x:c>
      <x:c r="I12" s="85"/>
      <x:c r="J12" s="85"/>
      <x:c r="K12" s="85"/>
      <x:c r="L12" s="85"/>
      <x:c r="M12" s="85"/>
    </x:row>
    <x:row r="13" ht="48" customHeight="1">
      <x:c r="A13" s="121" t="str">
        <x:v>SAM share of addressable adviser seats</x:v>
      </x:c>
      <x:c r="B13" s="94" t="n">
        <x:v>0.6</x:v>
      </x:c>
      <x:c r="C13" s="85" t="str">
        <x:v>%</x:v>
      </x:c>
      <x:c r="D13" s="91" t="n">
        <x:v>0.4</x:v>
      </x:c>
      <x:c r="E13" s="91" t="n">
        <x:v>0.8</x:v>
      </x:c>
      <x:c r="F13" s="90" t="str">
        <x:v>Strategy</x:v>
      </x:c>
      <x:c r="G13" s="48" t="str">
        <x:v>Model assumption</x:v>
      </x:c>
      <x:c r="H13" s="122" t="str">
        <x:v>Current product fit with holistic, fact-find-heavy advice workflows.</x:v>
      </x:c>
      <x:c r="I13" s="85"/>
      <x:c r="J13" s="85"/>
      <x:c r="K13" s="85"/>
      <x:c r="L13" s="85"/>
      <x:c r="M13" s="85"/>
    </x:row>
    <x:row r="14" ht="48" customHeight="1">
      <x:c r="A14" s="121" t="str">
        <x:v>SOM share of SAM</x:v>
      </x:c>
      <x:c r="B14" s="94" t="n">
        <x:v>0.05</x:v>
      </x:c>
      <x:c r="C14" s="85" t="str">
        <x:v>%</x:v>
      </x:c>
      <x:c r="D14" s="91" t="n">
        <x:v>0.02</x:v>
      </x:c>
      <x:c r="E14" s="91" t="n">
        <x:v>0.1</x:v>
      </x:c>
      <x:c r="F14" s="90" t="str">
        <x:v>Strategy</x:v>
      </x:c>
      <x:c r="G14" s="48" t="str">
        <x:v>Model assumption</x:v>
      </x:c>
      <x:c r="H14" s="122" t="str">
        <x:v>Initial achievable wedge, not a market fact.</x:v>
      </x:c>
      <x:c r="I14" s="85"/>
      <x:c r="J14" s="85"/>
      <x:c r="K14" s="85"/>
      <x:c r="L14" s="85"/>
      <x:c r="M14" s="85"/>
    </x:row>
    <x:row r="15" ht="48" customHeight="1">
      <x:c r="A15" s="123" t="str">
        <x:v>Advisers in example firm</x:v>
      </x:c>
      <x:c r="B15" s="124" t="n">
        <x:v>5</x:v>
      </x:c>
      <x:c r="C15" s="125" t="str">
        <x:v>advisers</x:v>
      </x:c>
      <x:c r="D15" s="124" t="n">
        <x:v>3</x:v>
      </x:c>
      <x:c r="E15" s="124" t="n">
        <x:v>10</x:v>
      </x:c>
      <x:c r="F15" s="126" t="str">
        <x:v>Strategy</x:v>
      </x:c>
      <x:c r="G15" s="127" t="str">
        <x:v>Model assumption</x:v>
      </x:c>
      <x:c r="H15" s="128" t="str">
        <x:v>Used for firm-level ROI examples.</x:v>
      </x:c>
      <x:c r="I15" s="85"/>
      <x:c r="J15" s="85"/>
      <x:c r="K15" s="85"/>
      <x:c r="L15" s="85"/>
      <x:c r="M15" s="85"/>
    </x:row>
    <x:row r="16">
      <x:c r="A16" s="85"/>
      <x:c r="B16" s="85"/>
      <x:c r="C16" s="85"/>
      <x:c r="D16" s="85"/>
      <x:c r="E16" s="85"/>
      <x:c r="F16" s="85"/>
      <x:c r="G16" s="85"/>
      <x:c r="H16" s="85"/>
      <x:c r="I16" s="85"/>
      <x:c r="J16" s="85"/>
      <x:c r="K16" s="85"/>
      <x:c r="L16" s="85"/>
      <x:c r="M16" s="85"/>
    </x:row>
    <x:row r="17">
      <x:c r="A17" s="87" t="str">
        <x:v>People Cost and Commercial Capacity Inputs</x:v>
      </x:c>
      <x:c r="B17" s="87"/>
      <x:c r="C17" s="87"/>
      <x:c r="D17" s="87"/>
      <x:c r="E17" s="87"/>
      <x:c r="F17" s="87"/>
      <x:c r="G17" s="87"/>
      <x:c r="H17" s="87"/>
      <x:c r="I17" s="85"/>
      <x:c r="J17" s="85"/>
      <x:c r="K17" s="85"/>
      <x:c r="L17" s="85"/>
      <x:c r="M17" s="85"/>
    </x:row>
    <x:row r="18">
      <x:c r="A18" s="118" t="str">
        <x:v>Metric</x:v>
      </x:c>
      <x:c r="B18" s="119" t="str">
        <x:v>Base case</x:v>
      </x:c>
      <x:c r="C18" s="119" t="str">
        <x:v>Unit</x:v>
      </x:c>
      <x:c r="D18" s="119" t="str">
        <x:v>Low case</x:v>
      </x:c>
      <x:c r="E18" s="119" t="str">
        <x:v>High case</x:v>
      </x:c>
      <x:c r="F18" s="119" t="str">
        <x:v>Confidence</x:v>
      </x:c>
      <x:c r="G18" s="119" t="str">
        <x:v>Source URL</x:v>
      </x:c>
      <x:c r="H18" s="120" t="str">
        <x:v>Notes</x:v>
      </x:c>
      <x:c r="I18" s="85"/>
      <x:c r="J18" s="85"/>
      <x:c r="K18" s="85"/>
      <x:c r="L18" s="85"/>
      <x:c r="M18" s="85"/>
    </x:row>
    <x:row r="19" ht="46" customHeight="1">
      <x:c r="A19" s="121" t="str">
        <x:v>Adviser / private banking manager salary</x:v>
      </x:c>
      <x:c r="B19" s="96" t="n">
        <x:v>75000</x:v>
      </x:c>
      <x:c r="C19" s="85" t="str">
        <x:v>€ p.a.</x:v>
      </x:c>
      <x:c r="D19" s="96" t="n">
        <x:v>70000</x:v>
      </x:c>
      <x:c r="E19" s="96" t="n">
        <x:v>80000</x:v>
      </x:c>
      <x:c r="F19" s="90" t="str">
        <x:v>Medium</x:v>
      </x:c>
      <x:c r="G19" s="48" t="str">
        <x:v>https://www.morganmckinley.com/ie/salary-guide/data/private-banking-manager/ireland</x:v>
      </x:c>
      <x:c r="H19" s="122" t="str">
        <x:v>Midpoint proxy for the wealth-manager target segment.</x:v>
      </x:c>
      <x:c r="I19" s="85"/>
      <x:c r="J19" s="85"/>
      <x:c r="K19" s="85"/>
      <x:c r="L19" s="85"/>
      <x:c r="M19" s="85"/>
    </x:row>
    <x:row r="20" ht="46" customHeight="1">
      <x:c r="A20" s="121" t="str">
        <x:v>Support / paraplanner salary</x:v>
      </x:c>
      <x:c r="B20" s="96" t="n">
        <x:v>47500</x:v>
      </x:c>
      <x:c r="C20" s="85" t="str">
        <x:v>€ p.a.</x:v>
      </x:c>
      <x:c r="D20" s="96" t="n">
        <x:v>45000</x:v>
      </x:c>
      <x:c r="E20" s="96" t="n">
        <x:v>50000</x:v>
      </x:c>
      <x:c r="F20" s="90" t="str">
        <x:v>Medium</x:v>
      </x:c>
      <x:c r="G20" s="48" t="str">
        <x:v>https://www.irishjobs.ie/jobs/paraplanner</x:v>
      </x:c>
      <x:c r="H20" s="122" t="str">
        <x:v>Live-market paraplanner benchmark range.</x:v>
      </x:c>
      <x:c r="I20" s="85"/>
      <x:c r="J20" s="85"/>
      <x:c r="K20" s="85"/>
      <x:c r="L20" s="85"/>
      <x:c r="M20" s="85"/>
    </x:row>
    <x:row r="21" ht="46" customHeight="1">
      <x:c r="A21" s="121" t="str">
        <x:v>Employer PRSI</x:v>
      </x:c>
      <x:c r="B21" s="91" t="n">
        <x:v>0.1115</x:v>
      </x:c>
      <x:c r="C21" s="85" t="str">
        <x:v>%</x:v>
      </x:c>
      <x:c r="D21" s="91" t="n">
        <x:v>0.1115</x:v>
      </x:c>
      <x:c r="E21" s="91" t="n">
        <x:v>0.1115</x:v>
      </x:c>
      <x:c r="F21" s="90" t="str">
        <x:v>High</x:v>
      </x:c>
      <x:c r="G21" s="48" t="str">
        <x:v>https://www.revenue.ie/en/tax-professionals/tdm/income-tax-capital-gains-tax-corporation-tax/part-42/42-04-70.pdf</x:v>
      </x:c>
      <x:c r="H21" s="122" t="str">
        <x:v>Employer PRSI assumption used in the research report.</x:v>
      </x:c>
      <x:c r="I21" s="85"/>
      <x:c r="J21" s="85"/>
      <x:c r="K21" s="85"/>
      <x:c r="L21" s="85"/>
      <x:c r="M21" s="85"/>
    </x:row>
    <x:row r="22" ht="46" customHeight="1">
      <x:c r="A22" s="121" t="str">
        <x:v>Benefits / pension load</x:v>
      </x:c>
      <x:c r="B22" s="91" t="n">
        <x:v>0.05</x:v>
      </x:c>
      <x:c r="C22" s="85" t="str">
        <x:v>%</x:v>
      </x:c>
      <x:c r="D22" s="91" t="n">
        <x:v>0.03</x:v>
      </x:c>
      <x:c r="E22" s="91" t="n">
        <x:v>0.1</x:v>
      </x:c>
      <x:c r="F22" s="90" t="str">
        <x:v>Model</x:v>
      </x:c>
      <x:c r="G22" s="48" t="str">
        <x:v>Model assumption</x:v>
      </x:c>
      <x:c r="H22" s="122" t="str">
        <x:v>Conservative additional employment-cost allowance.</x:v>
      </x:c>
      <x:c r="I22" s="85"/>
      <x:c r="J22" s="85"/>
      <x:c r="K22" s="85"/>
      <x:c r="L22" s="85"/>
      <x:c r="M22" s="85"/>
    </x:row>
    <x:row r="23" ht="46" customHeight="1">
      <x:c r="A23" s="121" t="str">
        <x:v>Weekly contracted hours</x:v>
      </x:c>
      <x:c r="B23" s="97" t="n">
        <x:v>39</x:v>
      </x:c>
      <x:c r="C23" s="85" t="str">
        <x:v>hours</x:v>
      </x:c>
      <x:c r="D23" s="97" t="n">
        <x:v>37.5</x:v>
      </x:c>
      <x:c r="E23" s="97" t="n">
        <x:v>40</x:v>
      </x:c>
      <x:c r="F23" s="90" t="str">
        <x:v>High</x:v>
      </x:c>
      <x:c r="G23" s="48" t="str">
        <x:v>Model assumption</x:v>
      </x:c>
      <x:c r="H23" s="122" t="str">
        <x:v>Used to convert annual salary to hourly cost.</x:v>
      </x:c>
      <x:c r="I23" s="85"/>
      <x:c r="J23" s="85"/>
      <x:c r="K23" s="85"/>
      <x:c r="L23" s="85"/>
      <x:c r="M23" s="85"/>
    </x:row>
    <x:row r="24" ht="46" customHeight="1">
      <x:c r="A24" s="121" t="str">
        <x:v>Working weeks per year</x:v>
      </x:c>
      <x:c r="B24" s="97" t="n">
        <x:v>46</x:v>
      </x:c>
      <x:c r="C24" s="85" t="str">
        <x:v>weeks</x:v>
      </x:c>
      <x:c r="D24" s="97" t="n">
        <x:v>44</x:v>
      </x:c>
      <x:c r="E24" s="97" t="n">
        <x:v>48</x:v>
      </x:c>
      <x:c r="F24" s="90" t="str">
        <x:v>Model</x:v>
      </x:c>
      <x:c r="G24" s="48" t="str">
        <x:v>Model assumption</x:v>
      </x:c>
      <x:c r="H24" s="122" t="str">
        <x:v>Allows for annual leave, training and non-working days.</x:v>
      </x:c>
      <x:c r="I24" s="85"/>
      <x:c r="J24" s="85"/>
      <x:c r="K24" s="85"/>
      <x:c r="L24" s="85"/>
      <x:c r="M24" s="85"/>
    </x:row>
    <x:row r="25" ht="46" customHeight="1">
      <x:c r="A25" s="121" t="str">
        <x:v>Adviser productive utilisation</x:v>
      </x:c>
      <x:c r="B25" s="91" t="n">
        <x:v>0.7</x:v>
      </x:c>
      <x:c r="C25" s="85" t="str">
        <x:v>%</x:v>
      </x:c>
      <x:c r="D25" s="91" t="n">
        <x:v>0.6</x:v>
      </x:c>
      <x:c r="E25" s="91" t="n">
        <x:v>0.8</x:v>
      </x:c>
      <x:c r="F25" s="90" t="str">
        <x:v>Model</x:v>
      </x:c>
      <x:c r="G25" s="48" t="str">
        <x:v>https://www.kitces.com/blog/how-do-financial-advisors-spend-time-research-study-productivity-capacity-efficiency/</x:v>
      </x:c>
      <x:c r="H25" s="122" t="str">
        <x:v>Used to convert gross hourly cost to net productive economic cost.</x:v>
      </x:c>
      <x:c r="I25" s="85"/>
      <x:c r="J25" s="85"/>
      <x:c r="K25" s="85"/>
      <x:c r="L25" s="85"/>
      <x:c r="M25" s="85"/>
    </x:row>
    <x:row r="26" ht="46" customHeight="1">
      <x:c r="A26" s="121" t="str">
        <x:v>Support productive utilisation</x:v>
      </x:c>
      <x:c r="B26" s="91" t="n">
        <x:v>0.8</x:v>
      </x:c>
      <x:c r="C26" s="85" t="str">
        <x:v>%</x:v>
      </x:c>
      <x:c r="D26" s="91" t="n">
        <x:v>0.7</x:v>
      </x:c>
      <x:c r="E26" s="91" t="n">
        <x:v>0.9</x:v>
      </x:c>
      <x:c r="F26" s="90" t="str">
        <x:v>Model</x:v>
      </x:c>
      <x:c r="G26" s="48" t="str">
        <x:v>Model assumption</x:v>
      </x:c>
      <x:c r="H26" s="122" t="str">
        <x:v>Support role assumed to have higher productive utilisation.</x:v>
      </x:c>
      <x:c r="I26" s="85"/>
      <x:c r="J26" s="85"/>
      <x:c r="K26" s="85"/>
      <x:c r="L26" s="85"/>
      <x:c r="M26" s="85"/>
    </x:row>
    <x:row r="27" ht="46" customHeight="1">
      <x:c r="A27" s="121" t="str">
        <x:v>Adviser charge-out rate</x:v>
      </x:c>
      <x:c r="B27" s="96" t="n">
        <x:v>250</x:v>
      </x:c>
      <x:c r="C27" s="85" t="str">
        <x:v>€ / hour</x:v>
      </x:c>
      <x:c r="D27" s="96" t="n">
        <x:v>150</x:v>
      </x:c>
      <x:c r="E27" s="96" t="n">
        <x:v>350</x:v>
      </x:c>
      <x:c r="F27" s="90" t="str">
        <x:v>Medium</x:v>
      </x:c>
      <x:c r="G27" s="48" t="str">
        <x:v>https://www.oakwoodfinancial.ie/wp-content/uploads/2025/01/Oakwood-Financial-Advisors-How-we-Charge.pdf</x:v>
      </x:c>
      <x:c r="H27" s="122" t="str">
        <x:v>Irish fee schedules commonly publish about €250 per adviser hour.</x:v>
      </x:c>
      <x:c r="I27" s="85"/>
      <x:c r="J27" s="85"/>
      <x:c r="K27" s="85"/>
      <x:c r="L27" s="85"/>
      <x:c r="M27" s="85"/>
    </x:row>
    <x:row r="28" ht="46" customHeight="1">
      <x:c r="A28" s="123" t="str">
        <x:v>Support / paraplanner charge-out rate</x:v>
      </x:c>
      <x:c r="B28" s="140" t="n">
        <x:v>150</x:v>
      </x:c>
      <x:c r="C28" s="125" t="str">
        <x:v>€ / hour</x:v>
      </x:c>
      <x:c r="D28" s="140" t="n">
        <x:v>100</x:v>
      </x:c>
      <x:c r="E28" s="140" t="n">
        <x:v>200</x:v>
      </x:c>
      <x:c r="F28" s="126" t="str">
        <x:v>Medium</x:v>
      </x:c>
      <x:c r="G28" s="127" t="str">
        <x:v>https://www.oakwoodfinancial.ie/wp-content/uploads/2025/01/Oakwood-Financial-Advisors-How-we-Charge.pdf</x:v>
      </x:c>
      <x:c r="H28" s="128" t="str">
        <x:v>Irish fee schedules commonly publish about €150 per support hour.</x:v>
      </x:c>
      <x:c r="I28" s="85"/>
      <x:c r="J28" s="85"/>
      <x:c r="K28" s="85"/>
      <x:c r="L28" s="85"/>
      <x:c r="M28" s="85"/>
    </x:row>
    <x:row r="29">
      <x:c r="A29" s="85"/>
      <x:c r="B29" s="85"/>
      <x:c r="C29" s="85"/>
      <x:c r="D29" s="85"/>
      <x:c r="E29" s="85"/>
      <x:c r="F29" s="85"/>
      <x:c r="G29" s="85"/>
      <x:c r="H29" s="85"/>
      <x:c r="I29" s="85"/>
      <x:c r="J29" s="85"/>
      <x:c r="K29" s="85"/>
      <x:c r="L29" s="85"/>
      <x:c r="M29" s="85"/>
    </x:row>
    <x:row r="30">
      <x:c r="A30" s="87" t="str">
        <x:v>Market Size Inputs</x:v>
      </x:c>
      <x:c r="B30" s="87"/>
      <x:c r="C30" s="87"/>
      <x:c r="D30" s="87"/>
      <x:c r="E30" s="87"/>
      <x:c r="F30" s="87"/>
      <x:c r="G30" s="87"/>
      <x:c r="H30" s="87"/>
      <x:c r="I30" s="85"/>
      <x:c r="J30" s="85"/>
      <x:c r="K30" s="85"/>
      <x:c r="L30" s="85"/>
      <x:c r="M30" s="85"/>
    </x:row>
    <x:row r="31">
      <x:c r="A31" s="118" t="str">
        <x:v>Geography</x:v>
      </x:c>
      <x:c r="B31" s="119" t="str">
        <x:v>Addressable adviser seats</x:v>
      </x:c>
      <x:c r="C31" s="119" t="str">
        <x:v>Source URL</x:v>
      </x:c>
      <x:c r="D31" s="120" t="str">
        <x:v>Interpretation</x:v>
      </x:c>
      <x:c r="E31" s="85"/>
      <x:c r="F31" s="85"/>
      <x:c r="G31" s="85"/>
      <x:c r="H31" s="85"/>
      <x:c r="I31" s="85"/>
      <x:c r="J31" s="85"/>
      <x:c r="K31" s="85"/>
      <x:c r="L31" s="85"/>
      <x:c r="M31" s="85"/>
    </x:row>
    <x:row r="32" ht="42" customHeight="1">
      <x:c r="A32" s="121" t="str">
        <x:v>Ireland</x:v>
      </x:c>
      <x:c r="B32" s="93" t="n">
        <x:v>1061</x:v>
      </x:c>
      <x:c r="C32" s="48" t="str">
        <x:v>https://www.fpsb.ie/about-us.html</x:v>
      </x:c>
      <x:c r="D32" s="142" t="str">
        <x:v>Core holistic-planner seat base; broader intermediary ceiling is higher.</x:v>
      </x:c>
      <x:c r="E32" s="85"/>
      <x:c r="F32" s="85"/>
      <x:c r="G32" s="85"/>
      <x:c r="H32" s="85"/>
      <x:c r="I32" s="85"/>
      <x:c r="J32" s="85"/>
      <x:c r="K32" s="85"/>
      <x:c r="L32" s="85"/>
      <x:c r="M32" s="85"/>
    </x:row>
    <x:row r="33" ht="42" customHeight="1">
      <x:c r="A33" s="121" t="str">
        <x:v>UK</x:v>
      </x:c>
      <x:c r="B33" s="93" t="n">
        <x:v>37441</x:v>
      </x:c>
      <x:c r="C33" s="48" t="str">
        <x:v>https://www.fca.org.uk/data/retail-intermediary-market-data-2024</x:v>
      </x:c>
      <x:c r="D33" s="142" t="str">
        <x:v>Retail investment adviser posts.</x:v>
      </x:c>
      <x:c r="E33" s="85"/>
      <x:c r="F33" s="85"/>
      <x:c r="G33" s="85"/>
      <x:c r="H33" s="85"/>
      <x:c r="I33" s="85"/>
      <x:c r="J33" s="85"/>
      <x:c r="K33" s="85"/>
      <x:c r="L33" s="85"/>
      <x:c r="M33" s="85"/>
    </x:row>
    <x:row r="34" ht="42" customHeight="1">
      <x:c r="A34" s="123" t="str">
        <x:v>Europe proxy</x:v>
      </x:c>
      <x:c r="B34" s="124" t="n">
        <x:v>100000</x:v>
      </x:c>
      <x:c r="C34" s="127" t="str">
        <x:v>https://efpa-eu.org/index.php/2025/05/22/spreading-financial-expertise-efpas-certified-advisors-now-exceed-100000/</x:v>
      </x:c>
      <x:c r="D34" s="143" t="str">
        <x:v>Conservative certified-adviser floor; not a full census and not additive with the UK.</x:v>
      </x:c>
      <x:c r="E34" s="85"/>
      <x:c r="F34" s="85"/>
      <x:c r="G34" s="85"/>
      <x:c r="H34" s="85"/>
      <x:c r="I34" s="85"/>
      <x:c r="J34" s="85"/>
      <x:c r="K34" s="85"/>
      <x:c r="L34" s="85"/>
      <x:c r="M34" s="85"/>
    </x:row>
    <x:row r="35">
      <x:c r="A35" s="85"/>
      <x:c r="B35" s="85"/>
      <x:c r="C35" s="85"/>
      <x:c r="D35" s="85"/>
      <x:c r="E35" s="85"/>
      <x:c r="F35" s="85"/>
      <x:c r="G35" s="85"/>
      <x:c r="H35" s="85"/>
      <x:c r="I35" s="85"/>
      <x:c r="J35" s="85"/>
      <x:c r="K35" s="85"/>
      <x:c r="L35" s="85"/>
      <x:c r="M35" s="85"/>
    </x:row>
    <x:row r="36">
      <x:c r="A36" s="87" t="str">
        <x:v>Calculated Model Outputs</x:v>
      </x:c>
      <x:c r="B36" s="87"/>
      <x:c r="C36" s="87"/>
      <x:c r="D36" s="87"/>
      <x:c r="E36" s="87"/>
      <x:c r="F36" s="87"/>
      <x:c r="G36" s="87"/>
      <x:c r="H36" s="87"/>
      <x:c r="I36" s="85"/>
      <x:c r="J36" s="85"/>
      <x:c r="K36" s="85"/>
      <x:c r="L36" s="85"/>
      <x:c r="M36" s="85"/>
    </x:row>
    <x:row r="37">
      <x:c r="A37" s="118" t="str">
        <x:v>Metric</x:v>
      </x:c>
      <x:c r="B37" s="119" t="str">
        <x:v>Base case result</x:v>
      </x:c>
      <x:c r="C37" s="120" t="str">
        <x:v>Unit</x:v>
      </x:c>
      <x:c r="D37" s="85"/>
      <x:c r="E37" s="85"/>
      <x:c r="F37" s="85"/>
      <x:c r="G37" s="85"/>
      <x:c r="H37" s="85"/>
      <x:c r="I37" s="85"/>
      <x:c r="J37" s="85"/>
      <x:c r="K37" s="85"/>
      <x:c r="L37" s="85"/>
      <x:c r="M37" s="85"/>
    </x:row>
    <x:row r="38">
      <x:c r="A38" s="121" t="str">
        <x:v>Loaded gross adviser hourly cost</x:v>
      </x:c>
      <x:c r="B38" s="98" t="n">
        <x:f>B19*(1+B21+B22)/(B23*B24)</x:f>
        <x:v>48.55769230769231</x:v>
      </x:c>
      <x:c r="C38" s="146" t="str">
        <x:v>€ / hour</x:v>
      </x:c>
      <x:c r="D38" s="85"/>
      <x:c r="E38" s="85"/>
      <x:c r="F38" s="85"/>
      <x:c r="G38" s="85"/>
      <x:c r="H38" s="85"/>
      <x:c r="I38" s="85"/>
      <x:c r="J38" s="85"/>
      <x:c r="K38" s="85"/>
      <x:c r="L38" s="85"/>
      <x:c r="M38" s="85"/>
    </x:row>
    <x:row r="39">
      <x:c r="A39" s="121" t="str">
        <x:v>Loaded gross support hourly cost</x:v>
      </x:c>
      <x:c r="B39" s="98" t="n">
        <x:f>B20*(1+B21+B22)/(B23*B24)</x:f>
        <x:v>30.753205128205128</x:v>
      </x:c>
      <x:c r="C39" s="146" t="str">
        <x:v>€ / hour</x:v>
      </x:c>
      <x:c r="D39" s="85"/>
      <x:c r="E39" s="85"/>
      <x:c r="F39" s="85"/>
      <x:c r="G39" s="85"/>
      <x:c r="H39" s="85"/>
      <x:c r="I39" s="85"/>
      <x:c r="J39" s="85"/>
      <x:c r="K39" s="85"/>
      <x:c r="L39" s="85"/>
      <x:c r="M39" s="85"/>
    </x:row>
    <x:row r="40">
      <x:c r="A40" s="121" t="str">
        <x:v>Net productive adviser hourly cost</x:v>
      </x:c>
      <x:c r="B40" s="98" t="n">
        <x:f>B38/B25</x:f>
        <x:v>69.36813186813187</x:v>
      </x:c>
      <x:c r="C40" s="146" t="str">
        <x:v>€ / hour</x:v>
      </x:c>
      <x:c r="D40" s="85"/>
      <x:c r="E40" s="85"/>
      <x:c r="F40" s="85"/>
      <x:c r="G40" s="85"/>
      <x:c r="H40" s="85"/>
      <x:c r="I40" s="85"/>
      <x:c r="J40" s="85"/>
      <x:c r="K40" s="85"/>
      <x:c r="L40" s="85"/>
      <x:c r="M40" s="85"/>
    </x:row>
    <x:row r="41">
      <x:c r="A41" s="121" t="str">
        <x:v>Net productive support hourly cost</x:v>
      </x:c>
      <x:c r="B41" s="98" t="n">
        <x:f>B39/B26</x:f>
        <x:v>38.44150641025641</x:v>
      </x:c>
      <x:c r="C41" s="146" t="str">
        <x:v>€ / hour</x:v>
      </x:c>
      <x:c r="D41" s="85"/>
      <x:c r="E41" s="85"/>
      <x:c r="F41" s="85"/>
      <x:c r="G41" s="85"/>
      <x:c r="H41" s="85"/>
      <x:c r="I41" s="85"/>
      <x:c r="J41" s="85"/>
      <x:c r="K41" s="85"/>
      <x:c r="L41" s="85"/>
      <x:c r="M41" s="85"/>
    </x:row>
    <x:row r="42">
      <x:c r="A42" s="121" t="str">
        <x:v>Total workflow hours per cycle</x:v>
      </x:c>
      <x:c r="B42" s="99" t="n">
        <x:f>B7+B8</x:f>
        <x:v>3.75</x:v>
      </x:c>
      <x:c r="C42" s="146" t="str">
        <x:v>hours</x:v>
      </x:c>
      <x:c r="D42" s="85"/>
      <x:c r="E42" s="85"/>
      <x:c r="F42" s="85"/>
      <x:c r="G42" s="85"/>
      <x:c r="H42" s="85"/>
      <x:c r="I42" s="85"/>
      <x:c r="J42" s="85"/>
      <x:c r="K42" s="85"/>
      <x:c r="L42" s="85"/>
      <x:c r="M42" s="85"/>
    </x:row>
    <x:row r="43">
      <x:c r="A43" s="121" t="str">
        <x:v>Internal economic cost per cycle</x:v>
      </x:c>
      <x:c r="B43" s="92" t="n">
        <x:f>B7*B40+B8*B41</x:f>
        <x:v>206.00889995421244</x:v>
      </x:c>
      <x:c r="C43" s="146" t="str">
        <x:v>€ / cycle</x:v>
      </x:c>
      <x:c r="D43" s="85"/>
      <x:c r="E43" s="85"/>
      <x:c r="F43" s="85"/>
      <x:c r="G43" s="85"/>
      <x:c r="H43" s="85"/>
      <x:c r="I43" s="85"/>
      <x:c r="J43" s="85"/>
      <x:c r="K43" s="85"/>
      <x:c r="L43" s="85"/>
      <x:c r="M43" s="85"/>
    </x:row>
    <x:row r="44">
      <x:c r="A44" s="121" t="str">
        <x:v>Commercial capacity value per cycle</x:v>
      </x:c>
      <x:c r="B44" s="92" t="n">
        <x:f>B7*B27+B8*B28</x:f>
        <x:v>762.5</x:v>
      </x:c>
      <x:c r="C44" s="146" t="str">
        <x:v>€ / cycle</x:v>
      </x:c>
      <x:c r="D44" s="85"/>
      <x:c r="E44" s="85"/>
      <x:c r="F44" s="85"/>
      <x:c r="G44" s="85"/>
      <x:c r="H44" s="85"/>
      <x:c r="I44" s="85"/>
      <x:c r="J44" s="85"/>
      <x:c r="K44" s="85"/>
      <x:c r="L44" s="85"/>
      <x:c r="M44" s="85"/>
    </x:row>
    <x:row r="45">
      <x:c r="A45" s="121" t="str">
        <x:v>Internal economic cost per converted client</x:v>
      </x:c>
      <x:c r="B45" s="92" t="n">
        <x:f>B43/B9</x:f>
        <x:v>686.6963331807082</x:v>
      </x:c>
      <x:c r="C45" s="146" t="str">
        <x:v>€ / converted client</x:v>
      </x:c>
      <x:c r="D45" s="85"/>
      <x:c r="E45" s="85"/>
      <x:c r="F45" s="85"/>
      <x:c r="G45" s="85"/>
      <x:c r="H45" s="85"/>
      <x:c r="I45" s="85"/>
      <x:c r="J45" s="85"/>
      <x:c r="K45" s="85"/>
      <x:c r="L45" s="85"/>
      <x:c r="M45" s="85"/>
    </x:row>
    <x:row r="46">
      <x:c r="A46" s="121" t="str">
        <x:v>Commercial capacity value per converted client</x:v>
      </x:c>
      <x:c r="B46" s="92" t="n">
        <x:f>B44/B9</x:f>
        <x:v>2541.666666666667</x:v>
      </x:c>
      <x:c r="C46" s="146" t="str">
        <x:v>€ / converted client</x:v>
      </x:c>
      <x:c r="D46" s="85"/>
      <x:c r="E46" s="85"/>
      <x:c r="F46" s="85"/>
      <x:c r="G46" s="85"/>
      <x:c r="H46" s="85"/>
      <x:c r="I46" s="85"/>
      <x:c r="J46" s="85"/>
      <x:c r="K46" s="85"/>
      <x:c r="L46" s="85"/>
      <x:c r="M46" s="85"/>
    </x:row>
    <x:row r="47">
      <x:c r="A47" s="121" t="str">
        <x:v>Annual Planéir subscription per adviser</x:v>
      </x:c>
      <x:c r="B47" s="92" t="n">
        <x:f>B12*12</x:f>
        <x:v>2400</x:v>
      </x:c>
      <x:c r="C47" s="146" t="str">
        <x:v>€ / adviser / year</x:v>
      </x:c>
      <x:c r="D47" s="85"/>
      <x:c r="E47" s="85"/>
      <x:c r="F47" s="85"/>
      <x:c r="G47" s="85"/>
      <x:c r="H47" s="85"/>
      <x:c r="I47" s="85"/>
      <x:c r="J47" s="85"/>
      <x:c r="K47" s="85"/>
      <x:c r="L47" s="85"/>
      <x:c r="M47" s="85"/>
    </x:row>
    <x:row r="48">
      <x:c r="A48" s="121" t="str">
        <x:v>Annual internal saving per adviser</x:v>
      </x:c>
      <x:c r="B48" s="92" t="n">
        <x:f>B43*B11*B10</x:f>
        <x:v>2472.1067994505493</x:v>
      </x:c>
      <x:c r="C48" s="146" t="str">
        <x:v>€ / adviser / year</x:v>
      </x:c>
      <x:c r="D48" s="85"/>
      <x:c r="E48" s="85"/>
      <x:c r="F48" s="85"/>
      <x:c r="G48" s="85"/>
      <x:c r="H48" s="85"/>
      <x:c r="I48" s="85"/>
      <x:c r="J48" s="85"/>
      <x:c r="K48" s="85"/>
      <x:c r="L48" s="85"/>
      <x:c r="M48" s="85"/>
    </x:row>
    <x:row r="49">
      <x:c r="A49" s="121" t="str">
        <x:v>Annual capacity released per adviser</x:v>
      </x:c>
      <x:c r="B49" s="92" t="n">
        <x:f>B44*B11*B10</x:f>
        <x:v>9150</x:v>
      </x:c>
      <x:c r="C49" s="146" t="str">
        <x:v>€ / adviser / year</x:v>
      </x:c>
      <x:c r="D49" s="85"/>
      <x:c r="E49" s="85"/>
      <x:c r="F49" s="85"/>
      <x:c r="G49" s="85"/>
      <x:c r="H49" s="85"/>
      <x:c r="I49" s="85"/>
      <x:c r="J49" s="85"/>
      <x:c r="K49" s="85"/>
      <x:c r="L49" s="85"/>
      <x:c r="M49" s="85"/>
    </x:row>
    <x:row r="50">
      <x:c r="A50" s="121" t="str">
        <x:v>Internal cost ROI</x:v>
      </x:c>
      <x:c r="B50" s="100" t="n">
        <x:f>B48/B47</x:f>
        <x:v>1.0300444997710623</x:v>
      </x:c>
      <x:c r="C50" s="146" t="str">
        <x:v>x</x:v>
      </x:c>
      <x:c r="D50" s="85"/>
      <x:c r="E50" s="85"/>
      <x:c r="F50" s="85"/>
      <x:c r="G50" s="85"/>
      <x:c r="H50" s="85"/>
      <x:c r="I50" s="85"/>
      <x:c r="J50" s="85"/>
      <x:c r="K50" s="85"/>
      <x:c r="L50" s="85"/>
      <x:c r="M50" s="85"/>
    </x:row>
    <x:row r="51">
      <x:c r="A51" s="121" t="str">
        <x:v>Capacity-value ROI</x:v>
      </x:c>
      <x:c r="B51" s="100" t="n">
        <x:f>B49/B47</x:f>
        <x:v>3.8125</x:v>
      </x:c>
      <x:c r="C51" s="146" t="str">
        <x:v>x</x:v>
      </x:c>
      <x:c r="D51" s="85"/>
      <x:c r="E51" s="85"/>
      <x:c r="F51" s="85"/>
      <x:c r="G51" s="85"/>
      <x:c r="H51" s="85"/>
      <x:c r="I51" s="85"/>
      <x:c r="J51" s="85"/>
      <x:c r="K51" s="85"/>
      <x:c r="L51" s="85"/>
      <x:c r="M51" s="85"/>
    </x:row>
    <x:row r="52">
      <x:c r="A52" s="121" t="str">
        <x:v>Annual internal saving — example firm</x:v>
      </x:c>
      <x:c r="B52" s="92" t="n">
        <x:f>B48*B15</x:f>
        <x:v>12360.533997252747</x:v>
      </x:c>
      <x:c r="C52" s="146" t="str">
        <x:v>€ / firm / year</x:v>
      </x:c>
      <x:c r="D52" s="85"/>
      <x:c r="E52" s="85"/>
      <x:c r="F52" s="85"/>
      <x:c r="G52" s="85"/>
      <x:c r="H52" s="85"/>
      <x:c r="I52" s="85"/>
      <x:c r="J52" s="85"/>
      <x:c r="K52" s="85"/>
      <x:c r="L52" s="85"/>
      <x:c r="M52" s="85"/>
    </x:row>
    <x:row r="53">
      <x:c r="A53" s="121" t="str">
        <x:v>Annual capacity released — example firm</x:v>
      </x:c>
      <x:c r="B53" s="92" t="n">
        <x:f>B49*B15</x:f>
        <x:v>45750</x:v>
      </x:c>
      <x:c r="C53" s="146" t="str">
        <x:v>€ / firm / year</x:v>
      </x:c>
      <x:c r="D53" s="85"/>
      <x:c r="E53" s="85"/>
      <x:c r="F53" s="85"/>
      <x:c r="G53" s="85"/>
      <x:c r="H53" s="85"/>
      <x:c r="I53" s="85"/>
      <x:c r="J53" s="85"/>
      <x:c r="K53" s="85"/>
      <x:c r="L53" s="85"/>
      <x:c r="M53" s="85"/>
    </x:row>
    <x:row r="54">
      <x:c r="A54" s="121" t="str">
        <x:v>Annual subscription — example firm</x:v>
      </x:c>
      <x:c r="B54" s="92" t="n">
        <x:f>B47*B15</x:f>
        <x:v>12000</x:v>
      </x:c>
      <x:c r="C54" s="146" t="str">
        <x:v>€ / firm / year</x:v>
      </x:c>
      <x:c r="D54" s="85"/>
      <x:c r="E54" s="85"/>
      <x:c r="F54" s="85"/>
      <x:c r="G54" s="85"/>
      <x:c r="H54" s="85"/>
      <x:c r="I54" s="85"/>
      <x:c r="J54" s="85"/>
      <x:c r="K54" s="85"/>
      <x:c r="L54" s="85"/>
      <x:c r="M54" s="85"/>
    </x:row>
    <x:row r="55">
      <x:c r="A55" s="121" t="str">
        <x:v>Net internal benefit — example firm</x:v>
      </x:c>
      <x:c r="B55" s="92" t="n">
        <x:f>B52-B54</x:f>
        <x:v>360.5339972527472</x:v>
      </x:c>
      <x:c r="C55" s="146" t="str">
        <x:v>€ / firm / year</x:v>
      </x:c>
      <x:c r="D55" s="85"/>
      <x:c r="E55" s="85"/>
      <x:c r="F55" s="85"/>
      <x:c r="G55" s="85"/>
      <x:c r="H55" s="85"/>
      <x:c r="I55" s="85"/>
      <x:c r="J55" s="85"/>
      <x:c r="K55" s="85"/>
      <x:c r="L55" s="85"/>
      <x:c r="M55" s="85"/>
    </x:row>
    <x:row r="56">
      <x:c r="A56" s="123" t="str">
        <x:v>Net capacity benefit — example firm</x:v>
      </x:c>
      <x:c r="B56" s="147" t="n">
        <x:f>B53-B54</x:f>
        <x:v>33750</x:v>
      </x:c>
      <x:c r="C56" s="148" t="str">
        <x:v>€ / firm / year</x:v>
      </x:c>
      <x:c r="D56" s="85"/>
      <x:c r="E56" s="85"/>
      <x:c r="F56" s="85"/>
      <x:c r="G56" s="85"/>
      <x:c r="H56" s="85"/>
      <x:c r="I56" s="85"/>
      <x:c r="J56" s="85"/>
      <x:c r="K56" s="85"/>
      <x:c r="L56" s="85"/>
      <x:c r="M56" s="85"/>
    </x:row>
    <x:row r="57">
      <x:c r="A57" s="85"/>
      <x:c r="B57" s="85"/>
      <x:c r="C57" s="85"/>
      <x:c r="D57" s="85"/>
      <x:c r="E57" s="85"/>
      <x:c r="F57" s="85"/>
      <x:c r="G57" s="85"/>
      <x:c r="H57" s="85"/>
      <x:c r="I57" s="85"/>
      <x:c r="J57" s="85"/>
      <x:c r="K57" s="85"/>
      <x:c r="L57" s="85"/>
      <x:c r="M57" s="85"/>
    </x:row>
    <x:row r="58">
      <x:c r="A58" s="85"/>
      <x:c r="B58" s="85"/>
      <x:c r="C58" s="85"/>
      <x:c r="D58" s="85"/>
      <x:c r="E58" s="85"/>
      <x:c r="F58" s="85"/>
      <x:c r="G58" s="85"/>
      <x:c r="H58" s="85"/>
      <x:c r="I58" s="85"/>
      <x:c r="J58" s="85"/>
      <x:c r="K58" s="85"/>
      <x:c r="L58" s="85"/>
      <x:c r="M58" s="85"/>
    </x:row>
    <x:row r="59">
      <x:c r="A59" s="85"/>
      <x:c r="B59" s="85"/>
      <x:c r="C59" s="85"/>
      <x:c r="D59" s="85"/>
      <x:c r="E59" s="85"/>
      <x:c r="F59" s="85"/>
      <x:c r="G59" s="85"/>
      <x:c r="H59" s="85"/>
      <x:c r="I59" s="85"/>
      <x:c r="J59" s="85"/>
      <x:c r="K59" s="85"/>
      <x:c r="L59" s="85"/>
      <x:c r="M59" s="85"/>
    </x:row>
    <x:row r="60">
      <x:c r="A60" s="85"/>
      <x:c r="B60" s="85"/>
      <x:c r="C60" s="85"/>
      <x:c r="D60" s="85"/>
      <x:c r="E60" s="85"/>
      <x:c r="F60" s="85"/>
      <x:c r="G60" s="85"/>
      <x:c r="H60" s="85"/>
      <x:c r="I60" s="85"/>
      <x:c r="J60" s="85"/>
      <x:c r="K60" s="85"/>
      <x:c r="L60" s="85"/>
      <x:c r="M60" s="85"/>
    </x:row>
  </x:sheetData>
  <x:mergeCells>
    <x:mergeCell ref="A1:H1"/>
    <x:mergeCell ref="A2:H2"/>
    <x:mergeCell ref="A3:H3"/>
    <x:mergeCell ref="A17:H17"/>
    <x:mergeCell ref="A30:H30"/>
    <x:mergeCell ref="A36:H36"/>
    <x:mergeCell ref="J3:M3"/>
  </x:mergeCells>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16" hidden="0" customWidth="1"/>
    <x:col min="3" max="3" width="16" hidden="0" customWidth="1"/>
    <x:col min="4" max="4" width="17" hidden="0" customWidth="1"/>
    <x:col min="5" max="5" width="17" hidden="0" customWidth="1"/>
    <x:col min="6" max="6" width="17" hidden="0" customWidth="1"/>
    <x:col min="7" max="7" width="18" hidden="0" customWidth="1"/>
    <x:col min="8" max="8" width="18" hidden="0" customWidth="1"/>
    <x:col min="9" max="9" width="18" hidden="0" customWidth="1"/>
    <x:col min="10" max="10" width="19" hidden="0" customWidth="1"/>
    <x:col min="11" max="11" width="18" hidden="0" customWidth="1"/>
    <x:col min="12" max="12" width="18" hidden="0" customWidth="1"/>
    <x:col min="13" max="13" width="18" hidden="0" customWidth="1"/>
    <x:col min="14" max="14" width="18" hidden="0" customWidth="1"/>
  </x:cols>
  <x:sheetData>
    <x:row r="1" ht="34" customHeight="1">
      <x:c r="A1" s="84" t="str">
        <x:v>Planéir Fact-Find Economics — Investor &amp; Commercial Summary</x:v>
      </x:c>
      <x:c r="B1" s="84"/>
      <x:c r="C1" s="84"/>
      <x:c r="D1" s="84"/>
      <x:c r="E1" s="84"/>
      <x:c r="F1" s="84"/>
      <x:c r="G1" s="84"/>
      <x:c r="H1" s="84"/>
      <x:c r="I1" s="84"/>
      <x:c r="J1" s="84"/>
      <x:c r="K1" s="84"/>
      <x:c r="L1" s="84"/>
      <x:c r="M1" s="84"/>
      <x:c r="N1" s="84"/>
    </x:row>
    <x:row r="2" ht="22" customHeight="1">
      <x:c r="A2" s="86" t="str">
        <x:v>Base case: 75-minute fact-find + 2.5 hours of analysis, 50% workload reduction, €200 per adviser per month.</x:v>
      </x:c>
      <x:c r="B2" s="86"/>
      <x:c r="C2" s="86"/>
      <x:c r="D2" s="86"/>
      <x:c r="E2" s="86"/>
      <x:c r="F2" s="86"/>
      <x:c r="G2" s="86"/>
      <x:c r="H2" s="86"/>
      <x:c r="I2" s="86"/>
      <x:c r="J2" s="86"/>
      <x:c r="K2" s="86"/>
      <x:c r="L2" s="86"/>
      <x:c r="M2" s="86"/>
      <x:c r="N2" s="86"/>
    </x:row>
    <x:row r="3">
      <x:c r="A3" s="85"/>
      <x:c r="B3" s="85"/>
      <x:c r="C3" s="85"/>
      <x:c r="D3" s="85"/>
      <x:c r="E3" s="85"/>
      <x:c r="F3" s="85"/>
      <x:c r="G3" s="85"/>
      <x:c r="H3" s="85"/>
      <x:c r="I3" s="85"/>
      <x:c r="J3" s="85"/>
      <x:c r="K3" s="85"/>
      <x:c r="L3" s="85"/>
      <x:c r="M3" s="85"/>
      <x:c r="N3" s="85"/>
    </x:row>
    <x:row r="4">
      <x:c r="A4" s="87" t="str">
        <x:v>Workflow economics</x:v>
      </x:c>
      <x:c r="B4" s="87"/>
      <x:c r="C4" s="87"/>
      <x:c r="D4" s="87" t="str">
        <x:v>Per-adviser annual value</x:v>
      </x:c>
      <x:c r="E4" s="87"/>
      <x:c r="F4" s="87"/>
      <x:c r="G4" s="87" t="str">
        <x:v>Five-adviser firm</x:v>
      </x:c>
      <x:c r="H4" s="87"/>
      <x:c r="I4" s="87"/>
      <x:c r="J4" s="87" t="str">
        <x:v>Commercial interpretation</x:v>
      </x:c>
      <x:c r="K4" s="87"/>
      <x:c r="L4" s="87"/>
      <x:c r="M4" s="87"/>
      <x:c r="N4" s="87"/>
    </x:row>
    <x:row r="5" ht="32" customHeight="1">
      <x:c r="A5" s="260" t="str">
        <x:v>Total hours per cycle</x:v>
      </x:c>
      <x:c r="B5" s="261" t="n">
        <x:f>Assumptions!B42</x:f>
        <x:v>3.75</x:v>
      </x:c>
      <x:c r="C5" s="262" t="str">
        <x:v>hours</x:v>
      </x:c>
      <x:c r="D5" s="263" t="str">
        <x:v>Annual subscription</x:v>
      </x:c>
      <x:c r="E5" s="264" t="n">
        <x:f>Assumptions!B47</x:f>
        <x:v>2400</x:v>
      </x:c>
      <x:c r="F5" s="262" t="str"/>
      <x:c r="G5" s="263" t="str">
        <x:v>Annual subscription</x:v>
      </x:c>
      <x:c r="H5" s="264" t="n">
        <x:f>Assumptions!B54</x:f>
        <x:v>12000</x:v>
      </x:c>
      <x:c r="I5" s="265" t="str"/>
      <x:c r="J5" s="174" t="str">
        <x:v>At the €200 monthly seat price, the base case approximately breaks even on direct internal labour cost and creates roughly 3.8x of commercial capacity value. This excludes any benefit from faster onboarding, improved conversion, better compliance consistency or a stronger client experience.</x:v>
      </x:c>
      <x:c r="K5" s="174"/>
      <x:c r="L5" s="174"/>
      <x:c r="M5" s="174"/>
      <x:c r="N5" s="174"/>
    </x:row>
    <x:row r="6" ht="32" customHeight="1">
      <x:c r="A6" s="121" t="str">
        <x:v>Internal cost per cycle</x:v>
      </x:c>
      <x:c r="B6" s="266" t="n">
        <x:f>Assumptions!B43</x:f>
        <x:v>206.00889995421244</x:v>
      </x:c>
      <x:c r="C6" s="52" t="str"/>
      <x:c r="D6" s="88" t="str">
        <x:v>Internal saving</x:v>
      </x:c>
      <x:c r="E6" s="266" t="n">
        <x:f>Assumptions!B48</x:f>
        <x:v>2472.1067994505493</x:v>
      </x:c>
      <x:c r="F6" s="52" t="str"/>
      <x:c r="G6" s="88" t="str">
        <x:v>Net internal benefit</x:v>
      </x:c>
      <x:c r="H6" s="266" t="n">
        <x:f>Assumptions!B55</x:f>
        <x:v>360.5339972527472</x:v>
      </x:c>
      <x:c r="I6" s="142" t="str"/>
      <x:c r="J6" s="174"/>
      <x:c r="K6" s="174"/>
      <x:c r="L6" s="174"/>
      <x:c r="M6" s="174"/>
      <x:c r="N6" s="174"/>
    </x:row>
    <x:row r="7" ht="32" customHeight="1">
      <x:c r="A7" s="121" t="str">
        <x:v>Capacity value per cycle</x:v>
      </x:c>
      <x:c r="B7" s="266" t="n">
        <x:f>Assumptions!B44</x:f>
        <x:v>762.5</x:v>
      </x:c>
      <x:c r="C7" s="52" t="str"/>
      <x:c r="D7" s="88" t="str">
        <x:v>Capacity released</x:v>
      </x:c>
      <x:c r="E7" s="266" t="n">
        <x:f>Assumptions!B49</x:f>
        <x:v>9150</x:v>
      </x:c>
      <x:c r="F7" s="52" t="str"/>
      <x:c r="G7" s="88" t="str">
        <x:v>Net capacity benefit</x:v>
      </x:c>
      <x:c r="H7" s="266" t="n">
        <x:f>Assumptions!B56</x:f>
        <x:v>33750</x:v>
      </x:c>
      <x:c r="I7" s="142" t="str"/>
      <x:c r="J7" s="174"/>
      <x:c r="K7" s="174"/>
      <x:c r="L7" s="174"/>
      <x:c r="M7" s="174"/>
      <x:c r="N7" s="174"/>
    </x:row>
    <x:row r="8" ht="32" customHeight="1">
      <x:c r="A8" s="123" t="str">
        <x:v>Saving per converted client</x:v>
      </x:c>
      <x:c r="B8" s="267" t="n">
        <x:f>Assumptions!B45*Assumptions!B11</x:f>
        <x:v>343.3481665903541</x:v>
      </x:c>
      <x:c r="C8" s="268" t="str"/>
      <x:c r="D8" s="269" t="str">
        <x:v>ROI: internal / capacity</x:v>
      </x:c>
      <x:c r="E8" s="270" t="str">
        <x:f>TEXT(Assumptions!B50,"0.0x")&amp;" / "&amp;TEXT(Assumptions!B51,"0.0x")</x:f>
        <x:v>1.0x / 3.8x</x:v>
      </x:c>
      <x:c r="F8" s="268" t="str"/>
      <x:c r="G8" s="269" t="str">
        <x:v>Capacity released</x:v>
      </x:c>
      <x:c r="H8" s="267" t="n">
        <x:f>Assumptions!B53</x:f>
        <x:v>45750</x:v>
      </x:c>
      <x:c r="I8" s="143" t="str"/>
      <x:c r="J8" s="174"/>
      <x:c r="K8" s="174"/>
      <x:c r="L8" s="174"/>
      <x:c r="M8" s="174"/>
      <x:c r="N8" s="174"/>
    </x:row>
    <x:row r="9">
      <x:c r="A9" s="85"/>
      <x:c r="B9" s="85"/>
      <x:c r="C9" s="85"/>
      <x:c r="D9" s="85"/>
      <x:c r="E9" s="85"/>
      <x:c r="F9" s="85"/>
      <x:c r="G9" s="85"/>
      <x:c r="H9" s="85"/>
      <x:c r="I9" s="85"/>
      <x:c r="J9" s="85"/>
      <x:c r="K9" s="85"/>
      <x:c r="L9" s="85"/>
      <x:c r="M9" s="85"/>
      <x:c r="N9" s="85"/>
    </x:row>
    <x:row r="10">
      <x:c r="A10" s="87" t="str">
        <x:v>Revenue Market and Economic Value Pool</x:v>
      </x:c>
      <x:c r="B10" s="87"/>
      <x:c r="C10" s="87"/>
      <x:c r="D10" s="87"/>
      <x:c r="E10" s="87"/>
      <x:c r="F10" s="87"/>
      <x:c r="G10" s="87"/>
      <x:c r="H10" s="87"/>
      <x:c r="I10" s="87"/>
      <x:c r="J10" s="87" t="str">
        <x:v>Key market takeaways</x:v>
      </x:c>
      <x:c r="K10" s="87"/>
      <x:c r="L10" s="87"/>
      <x:c r="M10" s="87"/>
      <x:c r="N10" s="87"/>
    </x:row>
    <x:row r="11" ht="32" customHeight="1">
      <x:c r="A11" s="118" t="str">
        <x:v>Geography</x:v>
      </x:c>
      <x:c r="B11" s="119" t="str">
        <x:v>Adviser seats</x:v>
      </x:c>
      <x:c r="C11" s="119" t="str">
        <x:v>Revenue TAM</x:v>
      </x:c>
      <x:c r="D11" s="119" t="str">
        <x:v>Revenue SAM</x:v>
      </x:c>
      <x:c r="E11" s="119" t="str">
        <x:v>Revenue SOM</x:v>
      </x:c>
      <x:c r="F11" s="119" t="str">
        <x:v>Avoidable internal-cost TAM</x:v>
      </x:c>
      <x:c r="G11" s="119" t="str">
        <x:v>Capacity-value TAM</x:v>
      </x:c>
      <x:c r="H11" s="120" t="str">
        <x:v>Annual price / adviser</x:v>
      </x:c>
      <x:c r="I11" s="85"/>
      <x:c r="J11" s="271" t="str">
        <x:v>Ireland</x:v>
      </x:c>
      <x:c r="K11" s="237" t="str">
        <x:v>€2.55m subscription TAM at €200/month; €2.62m internal savings pool and €9.71m capacity pool.</x:v>
      </x:c>
      <x:c r="L11" s="237"/>
      <x:c r="M11" s="237"/>
      <x:c r="N11" s="238"/>
    </x:row>
    <x:row r="12" ht="32" customHeight="1">
      <x:c r="A12" s="121" t="str">
        <x:v>Ireland</x:v>
      </x:c>
      <x:c r="B12" s="272" t="n">
        <x:f>Assumptions!B32</x:f>
        <x:v>1061</x:v>
      </x:c>
      <x:c r="C12" s="266" t="n">
        <x:f>B12*Assumptions!B47</x:f>
        <x:v>2546400</x:v>
      </x:c>
      <x:c r="D12" s="266" t="n">
        <x:f>C12*Assumptions!B13</x:f>
        <x:v>1527840</x:v>
      </x:c>
      <x:c r="E12" s="266" t="n">
        <x:f>D12*Assumptions!B14</x:f>
        <x:v>76392</x:v>
      </x:c>
      <x:c r="F12" s="266" t="n">
        <x:f>B12*Assumptions!B48</x:f>
        <x:v>2622905.314217033</x:v>
      </x:c>
      <x:c r="G12" s="266" t="n">
        <x:f>B12*Assumptions!B49</x:f>
        <x:v>9708150</x:v>
      </x:c>
      <x:c r="H12" s="273" t="n">
        <x:f>Assumptions!B47</x:f>
        <x:v>2400</x:v>
      </x:c>
      <x:c r="I12" s="85"/>
      <x:c r="J12" s="274" t="str">
        <x:v>UK</x:v>
      </x:c>
      <x:c r="K12" s="190" t="str">
        <x:v>€89.86m subscription TAM; €92.56m internal savings pool and €342.59m capacity pool.</x:v>
      </x:c>
      <x:c r="L12" s="190"/>
      <x:c r="M12" s="190"/>
      <x:c r="N12" s="240"/>
    </x:row>
    <x:row r="13" ht="32" customHeight="1">
      <x:c r="A13" s="121" t="str">
        <x:v>UK</x:v>
      </x:c>
      <x:c r="B13" s="272" t="n">
        <x:f>Assumptions!B33</x:f>
        <x:v>37441</x:v>
      </x:c>
      <x:c r="C13" s="266" t="n">
        <x:f>B13*Assumptions!B47</x:f>
        <x:v>89858400</x:v>
      </x:c>
      <x:c r="D13" s="266" t="n">
        <x:f>C13*Assumptions!B13</x:f>
        <x:v>53915040</x:v>
      </x:c>
      <x:c r="E13" s="266" t="n">
        <x:f>D13*Assumptions!B14</x:f>
        <x:v>2695752</x:v>
      </x:c>
      <x:c r="F13" s="266" t="n">
        <x:f>B13*Assumptions!B48</x:f>
        <x:v>92558150.67822802</x:v>
      </x:c>
      <x:c r="G13" s="266" t="n">
        <x:f>B13*Assumptions!B49</x:f>
        <x:v>342585150</x:v>
      </x:c>
      <x:c r="H13" s="273" t="n">
        <x:f>Assumptions!B47</x:f>
        <x:v>2400</x:v>
      </x:c>
      <x:c r="I13" s="85"/>
      <x:c r="J13" s="274" t="str">
        <x:v>Europe proxy</x:v>
      </x:c>
      <x:c r="K13" s="190" t="str">
        <x:v>€240.0m subscription TAM; €247.2m internal savings pool and €915.0m capacity pool.</x:v>
      </x:c>
      <x:c r="L13" s="190"/>
      <x:c r="M13" s="190"/>
      <x:c r="N13" s="240"/>
    </x:row>
    <x:row r="14" ht="32" customHeight="1">
      <x:c r="A14" s="123" t="str">
        <x:v>Europe proxy</x:v>
      </x:c>
      <x:c r="B14" s="275" t="n">
        <x:f>Assumptions!B34</x:f>
        <x:v>100000</x:v>
      </x:c>
      <x:c r="C14" s="267" t="n">
        <x:f>B14*Assumptions!B47</x:f>
        <x:v>240000000</x:v>
      </x:c>
      <x:c r="D14" s="267" t="n">
        <x:f>C14*Assumptions!B13</x:f>
        <x:v>144000000</x:v>
      </x:c>
      <x:c r="E14" s="267" t="n">
        <x:f>D14*Assumptions!B14</x:f>
        <x:v>7200000</x:v>
      </x:c>
      <x:c r="F14" s="267" t="n">
        <x:f>B14*Assumptions!B48</x:f>
        <x:v>247210679.94505492</x:v>
      </x:c>
      <x:c r="G14" s="267" t="n">
        <x:f>B14*Assumptions!B49</x:f>
        <x:v>915000000</x:v>
      </x:c>
      <x:c r="H14" s="276" t="n">
        <x:f>Assumptions!B47</x:f>
        <x:v>2400</x:v>
      </x:c>
      <x:c r="I14" s="85"/>
      <x:c r="J14" s="277" t="str">
        <x:v>Defensibility</x:v>
      </x:c>
      <x:c r="K14" s="242" t="str">
        <x:v>Pilot data should prove time saved, conversion lift and compliance-quality consistency.</x:v>
      </x:c>
      <x:c r="L14" s="242"/>
      <x:c r="M14" s="242"/>
      <x:c r="N14" s="243"/>
    </x:row>
    <x:row r="15">
      <x:c r="A15" s="85"/>
      <x:c r="B15" s="85"/>
      <x:c r="C15" s="85"/>
      <x:c r="D15" s="85"/>
      <x:c r="E15" s="85"/>
      <x:c r="F15" s="85"/>
      <x:c r="G15" s="85"/>
      <x:c r="H15" s="85"/>
      <x:c r="I15" s="85"/>
      <x:c r="J15" s="85"/>
      <x:c r="K15" s="85"/>
      <x:c r="L15" s="85"/>
      <x:c r="M15" s="85"/>
      <x:c r="N15" s="85"/>
    </x:row>
    <x:row r="16">
      <x:c r="A16" s="85"/>
      <x:c r="B16" s="85"/>
      <x:c r="C16" s="85"/>
      <x:c r="D16" s="85"/>
      <x:c r="E16" s="85"/>
      <x:c r="F16" s="85"/>
      <x:c r="G16" s="85"/>
      <x:c r="H16" s="85"/>
      <x:c r="I16" s="85"/>
      <x:c r="J16" s="85"/>
      <x:c r="K16" s="85"/>
      <x:c r="L16" s="85"/>
      <x:c r="M16" s="85"/>
      <x:c r="N16" s="85"/>
    </x:row>
    <x:row r="17">
      <x:c r="A17" s="87" t="str">
        <x:v>Scenario Sensitivity</x:v>
      </x:c>
      <x:c r="B17" s="87"/>
      <x:c r="C17" s="87"/>
      <x:c r="D17" s="87"/>
      <x:c r="E17" s="87"/>
      <x:c r="F17" s="87"/>
      <x:c r="G17" s="87"/>
      <x:c r="H17" s="87"/>
      <x:c r="I17" s="85"/>
      <x:c r="J17" s="118" t="str">
        <x:v>Geography</x:v>
      </x:c>
      <x:c r="K17" s="119" t="str">
        <x:v>TAM revenue</x:v>
      </x:c>
      <x:c r="L17" s="119" t="str">
        <x:v>SAM revenue</x:v>
      </x:c>
      <x:c r="M17" s="120" t="str">
        <x:v>SOM revenue</x:v>
      </x:c>
      <x:c r="N17" s="85"/>
    </x:row>
    <x:row r="18">
      <x:c r="A18" s="118" t="str">
        <x:v>Time reduction</x:v>
      </x:c>
      <x:c r="B18" s="119" t="str">
        <x:v>Saving per cycle</x:v>
      </x:c>
      <x:c r="C18" s="119" t="str">
        <x:v>Saving per converted client</x:v>
      </x:c>
      <x:c r="D18" s="120" t="str">
        <x:v>Annual saving per adviser</x:v>
      </x:c>
      <x:c r="E18" s="85"/>
      <x:c r="F18" s="118" t="str">
        <x:v>Per-adviser metric</x:v>
      </x:c>
      <x:c r="G18" s="120" t="str">
        <x:v>Annual € value</x:v>
      </x:c>
      <x:c r="H18" s="85"/>
      <x:c r="I18" s="85"/>
      <x:c r="J18" s="278" t="str">
        <x:v>Ireland</x:v>
      </x:c>
      <x:c r="K18" s="266" t="n">
        <x:f>C12</x:f>
        <x:v>2546400</x:v>
      </x:c>
      <x:c r="L18" s="266" t="n">
        <x:f>D12</x:f>
        <x:v>1527840</x:v>
      </x:c>
      <x:c r="M18" s="273" t="n">
        <x:f>E12</x:f>
        <x:v>76392</x:v>
      </x:c>
      <x:c r="N18" s="85"/>
    </x:row>
    <x:row r="19">
      <x:c r="A19" s="279" t="n">
        <x:f>Assumptions!J5</x:f>
        <x:v>0.25</x:v>
      </x:c>
      <x:c r="B19" s="266" t="n">
        <x:f>Assumptions!K5</x:f>
        <x:v>51.50222498855311</x:v>
      </x:c>
      <x:c r="C19" s="266" t="n">
        <x:f>Assumptions!L5</x:f>
        <x:v>171.67408329517704</x:v>
      </x:c>
      <x:c r="D19" s="273" t="n">
        <x:f>Assumptions!M5</x:f>
        <x:v>1236.0533997252746</x:v>
      </x:c>
      <x:c r="E19" s="85"/>
      <x:c r="F19" s="121" t="str">
        <x:v>Planéir subscription</x:v>
      </x:c>
      <x:c r="G19" s="273" t="n">
        <x:f>Assumptions!B47</x:f>
        <x:v>2400</x:v>
      </x:c>
      <x:c r="H19" s="85"/>
      <x:c r="I19" s="85"/>
      <x:c r="J19" s="278" t="str">
        <x:v>UK</x:v>
      </x:c>
      <x:c r="K19" s="266" t="n">
        <x:f>C13</x:f>
        <x:v>89858400</x:v>
      </x:c>
      <x:c r="L19" s="266" t="n">
        <x:f>D13</x:f>
        <x:v>53915040</x:v>
      </x:c>
      <x:c r="M19" s="273" t="n">
        <x:f>E13</x:f>
        <x:v>2695752</x:v>
      </x:c>
      <x:c r="N19" s="85"/>
    </x:row>
    <x:row r="20">
      <x:c r="A20" s="279" t="n">
        <x:f>Assumptions!J6</x:f>
        <x:v>0.5</x:v>
      </x:c>
      <x:c r="B20" s="266" t="n">
        <x:f>Assumptions!K6</x:f>
        <x:v>103.00444997710622</x:v>
      </x:c>
      <x:c r="C20" s="266" t="n">
        <x:f>Assumptions!L6</x:f>
        <x:v>343.3481665903541</x:v>
      </x:c>
      <x:c r="D20" s="273" t="n">
        <x:f>Assumptions!M6</x:f>
        <x:v>2472.1067994505493</x:v>
      </x:c>
      <x:c r="E20" s="85"/>
      <x:c r="F20" s="121" t="str">
        <x:v>Internal saving</x:v>
      </x:c>
      <x:c r="G20" s="273" t="n">
        <x:f>Assumptions!B48</x:f>
        <x:v>2472.1067994505493</x:v>
      </x:c>
      <x:c r="H20" s="85"/>
      <x:c r="I20" s="85"/>
      <x:c r="J20" s="280" t="str">
        <x:v>Europe proxy</x:v>
      </x:c>
      <x:c r="K20" s="267" t="n">
        <x:f>C14</x:f>
        <x:v>240000000</x:v>
      </x:c>
      <x:c r="L20" s="267" t="n">
        <x:f>D14</x:f>
        <x:v>144000000</x:v>
      </x:c>
      <x:c r="M20" s="276" t="n">
        <x:f>E14</x:f>
        <x:v>7200000</x:v>
      </x:c>
      <x:c r="N20" s="85"/>
    </x:row>
    <x:row r="21">
      <x:c r="A21" s="281" t="n">
        <x:f>Assumptions!J7</x:f>
        <x:v>0.75</x:v>
      </x:c>
      <x:c r="B21" s="267" t="n">
        <x:f>Assumptions!K7</x:f>
        <x:v>154.50667496565933</x:v>
      </x:c>
      <x:c r="C21" s="267" t="n">
        <x:f>Assumptions!L7</x:f>
        <x:v>515.0222498855311</x:v>
      </x:c>
      <x:c r="D21" s="276" t="n">
        <x:f>Assumptions!M7</x:f>
        <x:v>3708.160199175824</x:v>
      </x:c>
      <x:c r="E21" s="85"/>
      <x:c r="F21" s="123" t="str">
        <x:v>Capacity released</x:v>
      </x:c>
      <x:c r="G21" s="276" t="n">
        <x:f>Assumptions!B49</x:f>
        <x:v>9150</x:v>
      </x:c>
      <x:c r="H21" s="85"/>
      <x:c r="I21" s="85"/>
      <x:c r="J21" s="85"/>
      <x:c r="K21" s="85"/>
      <x:c r="L21" s="85"/>
      <x:c r="M21" s="85"/>
      <x:c r="N21" s="85"/>
    </x:row>
    <x:row r="22">
      <x:c r="A22" s="85"/>
      <x:c r="B22" s="85"/>
      <x:c r="C22" s="85"/>
      <x:c r="D22" s="85"/>
      <x:c r="E22" s="85"/>
      <x:c r="F22" s="85"/>
      <x:c r="G22" s="85"/>
      <x:c r="H22" s="85"/>
      <x:c r="I22" s="85"/>
      <x:c r="J22" s="85"/>
      <x:c r="K22" s="85"/>
      <x:c r="L22" s="85"/>
      <x:c r="M22" s="85"/>
      <x:c r="N22" s="85"/>
    </x:row>
    <x:row r="23">
      <x:c r="A23" s="85"/>
      <x:c r="B23" s="85"/>
      <x:c r="C23" s="85"/>
      <x:c r="D23" s="85"/>
      <x:c r="E23" s="85"/>
      <x:c r="F23" s="85"/>
      <x:c r="G23" s="85"/>
      <x:c r="H23" s="85"/>
      <x:c r="I23" s="85"/>
      <x:c r="J23" s="85"/>
      <x:c r="K23" s="85"/>
      <x:c r="L23" s="85"/>
      <x:c r="M23" s="85"/>
      <x:c r="N23" s="85"/>
    </x:row>
    <x:row r="24">
      <x:c r="A24" s="87" t="str">
        <x:v>Interpretation and Limitations</x:v>
      </x:c>
      <x:c r="B24" s="87"/>
      <x:c r="C24" s="87"/>
      <x:c r="D24" s="87"/>
      <x:c r="E24" s="87"/>
      <x:c r="F24" s="87"/>
      <x:c r="G24" s="87"/>
      <x:c r="H24" s="87"/>
      <x:c r="I24" s="87"/>
      <x:c r="J24" s="87"/>
      <x:c r="K24" s="87"/>
      <x:c r="L24" s="87"/>
      <x:c r="M24" s="87"/>
      <x:c r="N24" s="87"/>
    </x:row>
    <x:row r="25">
      <x:c r="A25" s="198" t="str">
        <x:v>The Ireland-specific evidence is strongest for regulatory requirements, meeting duration and published fee rates. Conversion, post-meeting analysis time and productive utilisation remain explicit assumptions based on broader adviser-practice evidence. The Europe figure is a conservative proxy based on certified advisers, not a complete census. The commercial case should therefore be refined with pilot data on actual hours saved, client completion rates, conversion lift and adviser adoption.</x:v>
      </x:c>
      <x:c r="B25" s="198"/>
      <x:c r="C25" s="198"/>
      <x:c r="D25" s="198"/>
      <x:c r="E25" s="198"/>
      <x:c r="F25" s="198"/>
      <x:c r="G25" s="198"/>
      <x:c r="H25" s="198"/>
      <x:c r="I25" s="198"/>
      <x:c r="J25" s="198"/>
      <x:c r="K25" s="198"/>
      <x:c r="L25" s="198"/>
      <x:c r="M25" s="198"/>
      <x:c r="N25" s="198"/>
    </x:row>
    <x:row r="26">
      <x:c r="A26" s="198"/>
      <x:c r="B26" s="198"/>
      <x:c r="C26" s="198"/>
      <x:c r="D26" s="198"/>
      <x:c r="E26" s="198"/>
      <x:c r="F26" s="198"/>
      <x:c r="G26" s="198"/>
      <x:c r="H26" s="198"/>
      <x:c r="I26" s="198"/>
      <x:c r="J26" s="198"/>
      <x:c r="K26" s="198"/>
      <x:c r="L26" s="198"/>
      <x:c r="M26" s="198"/>
      <x:c r="N26" s="198"/>
    </x:row>
    <x:row r="27">
      <x:c r="A27" s="198"/>
      <x:c r="B27" s="198"/>
      <x:c r="C27" s="198"/>
      <x:c r="D27" s="198"/>
      <x:c r="E27" s="198"/>
      <x:c r="F27" s="198"/>
      <x:c r="G27" s="198"/>
      <x:c r="H27" s="198"/>
      <x:c r="I27" s="198"/>
      <x:c r="J27" s="198"/>
      <x:c r="K27" s="198"/>
      <x:c r="L27" s="198"/>
      <x:c r="M27" s="198"/>
      <x:c r="N27" s="198"/>
    </x:row>
    <x:row r="28">
      <x:c r="A28" s="85"/>
      <x:c r="B28" s="85"/>
      <x:c r="C28" s="85"/>
      <x:c r="D28" s="85"/>
      <x:c r="E28" s="85"/>
      <x:c r="F28" s="85"/>
      <x:c r="G28" s="85"/>
      <x:c r="H28" s="85"/>
      <x:c r="I28" s="85"/>
      <x:c r="J28" s="85"/>
      <x:c r="K28" s="85"/>
      <x:c r="L28" s="85"/>
      <x:c r="M28" s="85"/>
      <x:c r="N28" s="85"/>
    </x:row>
    <x:row r="29">
      <x:c r="A29" s="85"/>
      <x:c r="B29" s="85"/>
      <x:c r="C29" s="85"/>
      <x:c r="D29" s="85"/>
      <x:c r="E29" s="85"/>
      <x:c r="F29" s="85"/>
      <x:c r="G29" s="85"/>
      <x:c r="H29" s="85"/>
      <x:c r="I29" s="85"/>
      <x:c r="J29" s="85"/>
      <x:c r="K29" s="85"/>
      <x:c r="L29" s="85"/>
      <x:c r="M29" s="85"/>
      <x:c r="N29" s="85"/>
    </x:row>
    <x:row r="30">
      <x:c r="A30" s="85"/>
      <x:c r="B30" s="85"/>
      <x:c r="C30" s="85"/>
      <x:c r="D30" s="85"/>
      <x:c r="E30" s="85"/>
      <x:c r="F30" s="85"/>
      <x:c r="G30" s="85"/>
      <x:c r="H30" s="85"/>
      <x:c r="I30" s="85"/>
      <x:c r="J30" s="85"/>
      <x:c r="K30" s="85"/>
      <x:c r="L30" s="85"/>
      <x:c r="M30" s="85"/>
      <x:c r="N30" s="85"/>
    </x:row>
  </x:sheetData>
  <x:mergeCells>
    <x:mergeCell ref="A1:N1"/>
    <x:mergeCell ref="A2:N2"/>
    <x:mergeCell ref="A4:C4"/>
    <x:mergeCell ref="D4:F4"/>
    <x:mergeCell ref="G4:I4"/>
    <x:mergeCell ref="J4:N4"/>
    <x:mergeCell ref="J5:N8"/>
    <x:mergeCell ref="A10:N10"/>
    <x:mergeCell ref="J10:N10"/>
    <x:mergeCell ref="K11:N11"/>
    <x:mergeCell ref="K12:N12"/>
    <x:mergeCell ref="K13:N13"/>
    <x:mergeCell ref="K14:N14"/>
    <x:mergeCell ref="A17:H17"/>
    <x:mergeCell ref="A24:N24"/>
    <x:mergeCell ref="A25:N27"/>
  </x:mergeCells>
  <x:pageMargins left="0.7" right="0.7" top="0.75" bottom="0.75" header="0.3" footer="0.3"/>
  <x:drawing xmlns:r="http://schemas.openxmlformats.org/officeDocument/2006/relationships" r:id="Rf4a269040ceb4044"/>
</x:worksheet>
</file>