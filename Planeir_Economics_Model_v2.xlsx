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dviser SaaS" sheetId="2" state="visible" r:id="rId4"/>
    <sheet name="Conversion &amp; Pricing" sheetId="3" state="visible" r:id="rId5"/>
    <sheet name="Business Model Paths" sheetId="4" state="visible" r:id="rId6"/>
    <sheet name="Competition" sheetId="5" state="visible" r:id="rId7"/>
    <sheet name="Market &amp; Tailwin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<sst xmlns="http://schemas.openxmlformats.org/spreadsheetml/2006/main" count="263" uniqueCount="252">
  <si>
    <t xml:space="preserve">Planéir Economics — Revised Model (v2)</t>
  </si>
  <si>
    <t xml:space="preserve">A more sceptical rebuild of the original fact-find model, plus a conversion-revenue reframe, pricing tiers, a competition benchmark, three business-model paths, and the Irish market backdrop. Prepared for Gerry, July 2026.</t>
  </si>
  <si>
    <t xml:space="preserve">How to read this workbook</t>
  </si>
  <si>
    <t xml:space="preserve">Blue text</t>
  </si>
  <si>
    <t xml:space="preserve">Editable input / scenario lever — change these</t>
  </si>
  <si>
    <t xml:space="preserve">Black text</t>
  </si>
  <si>
    <t xml:space="preserve">Formula — calculated, don't overtype</t>
  </si>
  <si>
    <t xml:space="preserve">Green text</t>
  </si>
  <si>
    <t xml:space="preserve">Links to another sheet</t>
  </si>
  <si>
    <t xml:space="preserve">Yellow fill</t>
  </si>
  <si>
    <t xml:space="preserve">Key lever that most moves the answer</t>
  </si>
  <si>
    <t xml:space="preserve">The sheets</t>
  </si>
  <si>
    <t xml:space="preserve">Adviser SaaS</t>
  </si>
  <si>
    <t xml:space="preserve">The original 'sell fact-find seats to advisers' case, rebuilt honestly: hard-cost ROI, value-capture %, and stress grid.</t>
  </si>
  <si>
    <t xml:space="preserve">Conversion &amp; Pricing</t>
  </si>
  <si>
    <t xml:space="preserve">The reframe — models revenue from a small conversion lift, and shows ROI at €50 / €100 / €150 / €200 seat prices.</t>
  </si>
  <si>
    <t xml:space="preserve">Business Model Paths</t>
  </si>
  <si>
    <t xml:space="preserve">Side-by-side economics of three ways to commercialise: B2C advice funnel, B2B2C client tool, B2B admin SaaS.</t>
  </si>
  <si>
    <t xml:space="preserve">Competition</t>
  </si>
  <si>
    <t xml:space="preserve">Who already does 'cut adviser admin', what they charge, what they claim, and where Planéir actually differs.</t>
  </si>
  <si>
    <t xml:space="preserve">Market &amp; Tailwinds</t>
  </si>
  <si>
    <t xml:space="preserve">The Irish backdrop: auto-enrolment wave, the advice gap, the Irish-tax localisation wedge. All sourced.</t>
  </si>
  <si>
    <t xml:space="preserve">The one-line verdict</t>
  </si>
  <si>
    <t xml:space="preserve">The admin-efficiency case breaks even at best and fights funded UK incumbents. The real, defensible value is Irish-specific, visual, education-led client acquisition — monetised through advice, riding the auto-enrolment wave. Price on that, not on saved minutes.</t>
  </si>
  <si>
    <t xml:space="preserve">Not investment advice. An analytical review of your own model and market. Figures are scenario assumptions to be replaced with pilot data.</t>
  </si>
  <si>
    <t xml:space="preserve">Adviser SaaS case — rebuilt honestly</t>
  </si>
  <si>
    <t xml:space="preserve">Same cost engine as the original model, but reporting the numbers a buyer actually feels. Blue = input, yellow = key lever.</t>
  </si>
  <si>
    <t xml:space="preserve">Cost &amp; workflow inputs</t>
  </si>
  <si>
    <t xml:space="preserve">Value</t>
  </si>
  <si>
    <t xml:space="preserve">Adviser salary (€ p.a.)</t>
  </si>
  <si>
    <t xml:space="preserve">Morgan McKinley private-banking midpoint</t>
  </si>
  <si>
    <t xml:space="preserve">Support / paraplanner salary (€ p.a.)</t>
  </si>
  <si>
    <t xml:space="preserve">IrishJobs paraplanner benchmark</t>
  </si>
  <si>
    <t xml:space="preserve">Employer PRSI</t>
  </si>
  <si>
    <t xml:space="preserve">Revenue.ie</t>
  </si>
  <si>
    <t xml:space="preserve">Benefits / pension load</t>
  </si>
  <si>
    <t xml:space="preserve">Model assumption</t>
  </si>
  <si>
    <t xml:space="preserve">Weekly contracted hours</t>
  </si>
  <si>
    <t xml:space="preserve">Working weeks per year</t>
  </si>
  <si>
    <t xml:space="preserve">Allows leave/training</t>
  </si>
  <si>
    <t xml:space="preserve">Adviser productive utilisation</t>
  </si>
  <si>
    <t xml:space="preserve">Kitces productivity study</t>
  </si>
  <si>
    <t xml:space="preserve">Support productive utilisation</t>
  </si>
  <si>
    <t xml:space="preserve">Adviser hours per fact-find cycle</t>
  </si>
  <si>
    <t xml:space="preserve">Allocated share of 3.75h workflow</t>
  </si>
  <si>
    <t xml:space="preserve">Support hours per fact-find cycle</t>
  </si>
  <si>
    <t xml:space="preserve">Adviser charge-out rate (€/hr)</t>
  </si>
  <si>
    <t xml:space="preserve">Oakwood Financial fee schedule</t>
  </si>
  <si>
    <t xml:space="preserve">Support charge-out rate (€/hr)</t>
  </si>
  <si>
    <t xml:space="preserve">Fact-find cycles per adviser / year</t>
  </si>
  <si>
    <t xml:space="preserve">Conservative new-client / review volume</t>
  </si>
  <si>
    <t xml:space="preserve">Planéir time reduction</t>
  </si>
  <si>
    <t xml:space="preserve">KEY LEVER. Aveni-class tools claim ~90%; 50% is mid</t>
  </si>
  <si>
    <t xml:space="preserve">Monthly price per adviser (€)</t>
  </si>
  <si>
    <t xml:space="preserve">KEY LEVER. See Conversion &amp; Pricing for tiers</t>
  </si>
  <si>
    <t xml:space="preserve">Calculated outputs</t>
  </si>
  <si>
    <t xml:space="preserve">Loaded gross adviser hourly cost</t>
  </si>
  <si>
    <t xml:space="preserve">Loaded gross support hourly cost</t>
  </si>
  <si>
    <t xml:space="preserve">Net productive adviser hourly cost</t>
  </si>
  <si>
    <t xml:space="preserve">Net productive support hourly cost</t>
  </si>
  <si>
    <t xml:space="preserve">Internal economic cost per cycle</t>
  </si>
  <si>
    <t xml:space="preserve">What an hour of freed time actually costs you</t>
  </si>
  <si>
    <t xml:space="preserve">Commercial capacity value per cycle</t>
  </si>
  <si>
    <t xml:space="preserve">Only real if freed time is re-sold at charge-out</t>
  </si>
  <si>
    <t xml:space="preserve">Annual subscription per adviser</t>
  </si>
  <si>
    <t xml:space="preserve">Annual internal (hard-cost) saving</t>
  </si>
  <si>
    <t xml:space="preserve">The money you can actually bank</t>
  </si>
  <si>
    <t xml:space="preserve">Annual capacity released (soft)</t>
  </si>
  <si>
    <t xml:space="preserve">Ceiling, not base case</t>
  </si>
  <si>
    <t xml:space="preserve">Hard-cost ROI</t>
  </si>
  <si>
    <t xml:space="preserve">Below 1.0x = customer loses money on hard cost</t>
  </si>
  <si>
    <t xml:space="preserve">Capacity-value ROI (optimistic)</t>
  </si>
  <si>
    <t xml:space="preserve">Share of hard saving captured by price</t>
  </si>
  <si>
    <t xml:space="preserve">Software usually captures 10–30%. Near 100% = mispriced</t>
  </si>
  <si>
    <t xml:space="preserve">Read: at €200 the tool captures almost all of the hard money it saves, leaving the buyer no cushion — so the sale must rest on the softer capacity and (unproven) conversion story. See next sheet.</t>
  </si>
  <si>
    <t xml:space="preserve">Hard-cost ROI stress grid  (rows = time reduction, cols = cycles/yr)</t>
  </si>
  <si>
    <t xml:space="preserve">Time reduction ↓ / Cycles →</t>
  </si>
  <si>
    <t xml:space="preserve">Green ≥ 1.0x (customer at least breaks even on hard cost). Base case (50% × 24) sits on the knife-edge.</t>
  </si>
  <si>
    <t xml:space="preserve">The reframe — revenue, not saved minutes</t>
  </si>
  <si>
    <t xml:space="preserve">The model's best argument is buried: a converted advice client is worth far more than the admin a fact-find costs, so even a small conversion lift outweighs the whole time-saving. This is also the least-proven number — treat as a pilot hypothesis.</t>
  </si>
  <si>
    <t xml:space="preserve">Conversion inputs</t>
  </si>
  <si>
    <t xml:space="preserve">Baseline lead→client conversion</t>
  </si>
  <si>
    <t xml:space="preserve">Conversion lift from Planéir (percentage points)</t>
  </si>
  <si>
    <t xml:space="preserve">First-year value per advice client (€)</t>
  </si>
  <si>
    <t xml:space="preserve">Outputs</t>
  </si>
  <si>
    <t xml:space="preserve">Extra clients per adviser / year</t>
  </si>
  <si>
    <t xml:space="preserve">cycles × conversion-point lift</t>
  </si>
  <si>
    <t xml:space="preserve">Annual conversion revenue per adviser</t>
  </si>
  <si>
    <t xml:space="preserve">The prize the original model ignored</t>
  </si>
  <si>
    <t xml:space="preserve">Conversion revenue ÷ hard-cost saving</t>
  </si>
  <si>
    <t xml:space="preserve">Above 1.0x = conversion is the bigger lever</t>
  </si>
  <si>
    <t xml:space="preserve">Even a 3-point conversion lift can rival or beat the entire admin saving — and dwarf it if client value is higher. That is the pitch that survives contact with Aveni; 'we save minutes' is not.</t>
  </si>
  <si>
    <t xml:space="preserve">What ROI looks like at different seat prices</t>
  </si>
  <si>
    <t xml:space="preserve">Monthly seat price</t>
  </si>
  <si>
    <t xml:space="preserve">Annual subscription</t>
  </si>
  <si>
    <t xml:space="preserve">Cost + conversion ROI</t>
  </si>
  <si>
    <t xml:space="preserve">Capacity + conversion ROI</t>
  </si>
  <si>
    <t xml:space="preserve">At €200 the hard-cost case is ~break-even; dropping to €100–150 gives the buyer a real cushion while conversion revenue carries the upside. Amber row = a defensible list price to test.</t>
  </si>
  <si>
    <t xml:space="preserve">Three ways to commercialise — rough economics</t>
  </si>
  <si>
    <t xml:space="preserve">Same expertise and tooling, three routes to market. Numbers are illustrative scenario inputs (blue), not forecasts — they exist to compare shape, scale and defensibility.</t>
  </si>
  <si>
    <t xml:space="preserve">Path A — B2C advice funnel</t>
  </si>
  <si>
    <t xml:space="preserve">Path B — B2B2C client tool</t>
  </si>
  <si>
    <t xml:space="preserve">Path C — B2B admin SaaS</t>
  </si>
  <si>
    <t xml:space="preserve">What it is</t>
  </si>
  <si>
    <t xml:space="preserve">Your own visual education calls → regulated advice clients. The live Planéir, monetised.</t>
  </si>
  <si>
    <t xml:space="preserve">License the Irish-tax visual planning tool to other brokers as a client-facing add-on.</t>
  </si>
  <si>
    <t xml:space="preserve">Sell fact-find/admin-efficiency seats to adviser firms (the original model).</t>
  </si>
  <si>
    <t xml:space="preserve">Who pays</t>
  </si>
  <si>
    <t xml:space="preserve">The consumer (indirectly, via advice fees / commission)</t>
  </si>
  <si>
    <t xml:space="preserve">Adviser firms (per seat, client-facing add-on)</t>
  </si>
  <si>
    <t xml:space="preserve">Adviser firms (per seat, back-office)</t>
  </si>
  <si>
    <t xml:space="preserve">Core value proposition</t>
  </si>
  <si>
    <t xml:space="preserve">Understand your money before you decide. Trust + clarity.</t>
  </si>
  <si>
    <t xml:space="preserve">Win &amp; retain more clients with Irish-accurate visuals UK tools can't do.</t>
  </si>
  <si>
    <t xml:space="preserve">Cut fact-find &amp; suitability admin time.</t>
  </si>
  <si>
    <t xml:space="preserve">Illustrative drivers (blue = edit)</t>
  </si>
  <si>
    <t xml:space="preserve">Volume × time</t>
  </si>
  <si>
    <t xml:space="preserve">× rate</t>
  </si>
  <si>
    <t xml:space="preserve">× conversion</t>
  </si>
  <si>
    <t xml:space="preserve">× unit value</t>
  </si>
  <si>
    <t xml:space="preserve">(rows above, per path: volume · reach · conversion · unit price — labels differ by path)</t>
  </si>
  <si>
    <t xml:space="preserve">Indicative annual revenue</t>
  </si>
  <si>
    <t xml:space="preserve">Scales beyond your hours?</t>
  </si>
  <si>
    <t xml:space="preserve">No — capped by your diary; grows only by hiring advisers</t>
  </si>
  <si>
    <t xml:space="preserve">Yes — SaaS margins once built</t>
  </si>
  <si>
    <t xml:space="preserve">Yes — but tiny home market</t>
  </si>
  <si>
    <t xml:space="preserve">Defensible vs incumbents?</t>
  </si>
  <si>
    <t xml:space="preserve">Yes — trust + Irish visual niche (askpaul proves demand)</t>
  </si>
  <si>
    <t xml:space="preserve">Yes — Irish tax + client-facing; UK tools can't localise</t>
  </si>
  <si>
    <t xml:space="preserve">No — Aveni/AdvisoryAI outgun on the same job</t>
  </si>
  <si>
    <t xml:space="preserve">Biggest risk</t>
  </si>
  <si>
    <t xml:space="preserve">Time-capped income; regulated advice workload</t>
  </si>
  <si>
    <t xml:space="preserve">Slow B2B broker sales; small market</t>
  </si>
  <si>
    <t xml:space="preserve">Break-even ROI; funded competition; needs UK scale</t>
  </si>
  <si>
    <t xml:space="preserve">Verdict</t>
  </si>
  <si>
    <t xml:space="preserve">Fastest cash, proven, but a practice not a scale-up</t>
  </si>
  <si>
    <t xml:space="preserve">Best fit for your edge — defensible &amp; scalable</t>
  </si>
  <si>
    <t xml:space="preserve">Weakest — don't lead with this</t>
  </si>
  <si>
    <t xml:space="preserve">Competition — who already owns 'cut adviser admin'</t>
  </si>
  <si>
    <t xml:space="preserve">The original model had no competition line. This is it. The back-office admin job is crowded and funded; Planéir's whitespace is the client-facing, Irish-tax, education layer.</t>
  </si>
  <si>
    <t xml:space="preserve">Tool</t>
  </si>
  <si>
    <t xml:space="preserve">Primary job</t>
  </si>
  <si>
    <t xml:space="preserve">Claimed saving / edge</t>
  </si>
  <si>
    <t xml:space="preserve">Integrations</t>
  </si>
  <si>
    <t xml:space="preserve">Indic. price</t>
  </si>
  <si>
    <t xml:space="preserve">Geo</t>
  </si>
  <si>
    <t xml:space="preserve">Overlap with Planéir</t>
  </si>
  <si>
    <t xml:space="preserve">Aveni Assist</t>
  </si>
  <si>
    <t xml:space="preserve">Suitability reports, letters, reviews from templates</t>
  </si>
  <si>
    <t xml:space="preserve">'Cut admin ~90%'; 90→10 min/report</t>
  </si>
  <si>
    <t xml:space="preserve">Intelliflo Office, Xplan</t>
  </si>
  <si>
    <t xml:space="preserve">Bespoke / enterprise</t>
  </si>
  <si>
    <t xml:space="preserve">UK</t>
  </si>
  <si>
    <t xml:space="preserve">HIGH — same admin job, better funded &amp; integrated</t>
  </si>
  <si>
    <t xml:space="preserve">AdvisoryAI (Emma &amp; Evie)</t>
  </si>
  <si>
    <t xml:space="preserve">Suitability writing + meeting notes + fact-find updates</t>
  </si>
  <si>
    <t xml:space="preserve">Report drafting in your templates</t>
  </si>
  <si>
    <t xml:space="preserve">CRM + meeting platforms</t>
  </si>
  <si>
    <t xml:space="preserve">Published per-seat plans</t>
  </si>
  <si>
    <t xml:space="preserve">HIGH — direct on admin</t>
  </si>
  <si>
    <t xml:space="preserve">Saturn</t>
  </si>
  <si>
    <t xml:space="preserve">Meeting assistant, fact-check vs suitability</t>
  </si>
  <si>
    <t xml:space="preserve">Real-time meeting support</t>
  </si>
  <si>
    <t xml:space="preserve">Meeting platforms</t>
  </si>
  <si>
    <t xml:space="preserve">Bespoke</t>
  </si>
  <si>
    <t xml:space="preserve">MEDIUM — meeting layer</t>
  </si>
  <si>
    <t xml:space="preserve">FE CashCalc</t>
  </si>
  <si>
    <t xml:space="preserve">Cashflow modelling</t>
  </si>
  <si>
    <t xml:space="preserve">Planning visuals</t>
  </si>
  <si>
    <t xml:space="preserve">Various</t>
  </si>
  <si>
    <t xml:space="preserve">~£75 / mo</t>
  </si>
  <si>
    <t xml:space="preserve">UK/IE</t>
  </si>
  <si>
    <t xml:space="preserve">MEDIUM — visuals, but UK tax</t>
  </si>
  <si>
    <t xml:space="preserve">Plannr</t>
  </si>
  <si>
    <t xml:space="preserve">CRM + workflow</t>
  </si>
  <si>
    <t xml:space="preserve">All-in-one practice mgmt</t>
  </si>
  <si>
    <t xml:space="preserve">Native</t>
  </si>
  <si>
    <t xml:space="preserve">~£140 / mo</t>
  </si>
  <si>
    <t xml:space="preserve">LOW — different layer (CRM)</t>
  </si>
  <si>
    <t xml:space="preserve">Intelliflo Office</t>
  </si>
  <si>
    <t xml:space="preserve">Incumbent adviser CRM</t>
  </si>
  <si>
    <t xml:space="preserve">Market-leading back office</t>
  </si>
  <si>
    <t xml:space="preserve">Ecosystem</t>
  </si>
  <si>
    <t xml:space="preserve">Bespoke, contracted</t>
  </si>
  <si>
    <t xml:space="preserve">LOW — infrastructure, not advice UX</t>
  </si>
  <si>
    <t xml:space="preserve">Planéir (proposed)</t>
  </si>
  <si>
    <t xml:space="preserve">Client-facing visual education + Irish-tax planning</t>
  </si>
  <si>
    <t xml:space="preserve">Understanding &amp; conversion, Irish-accurate</t>
  </si>
  <si>
    <t xml:space="preserve">Own app</t>
  </si>
  <si>
    <t xml:space="preserve">€100–200 / mo (test)</t>
  </si>
  <si>
    <t xml:space="preserve">Ireland</t>
  </si>
  <si>
    <t xml:space="preserve">— this is the whitespace</t>
  </si>
  <si>
    <t xml:space="preserve">Takeaways</t>
  </si>
  <si>
    <t xml:space="preserve">1.  On 'save admin time', Planéir is entering late, priced high, and claiming less (50%) than incumbents advertise (~90%). Don't fight here.</t>
  </si>
  <si>
    <t xml:space="preserve">2.  The incumbents are UK-built and UK-tax. None model Irish SFT/ARF/lump-sum rules — a genuine, defensible localisation wedge.</t>
  </si>
  <si>
    <t xml:space="preserve">3.  None lead with a client-facing visual education experience. That, plus a QFA's trust, is Planéir's actual differentiation.</t>
  </si>
  <si>
    <t xml:space="preserve">4.  Implication: compete on client understanding &amp; conversion for the Irish market, not on back-office minutes.</t>
  </si>
  <si>
    <t xml:space="preserve">Market &amp; tailwinds — the Irish backdrop</t>
  </si>
  <si>
    <t xml:space="preserve">Why the timing favours a consumer education play right now. All figures sourced; these are the demand-side facts the economics model should sit on.</t>
  </si>
  <si>
    <t xml:space="preserve">Theme</t>
  </si>
  <si>
    <t xml:space="preserve">Figure</t>
  </si>
  <si>
    <t xml:space="preserve">Detail</t>
  </si>
  <si>
    <t xml:space="preserve">Source</t>
  </si>
  <si>
    <t xml:space="preserve">Auto-enrolment launched</t>
  </si>
  <si>
    <t xml:space="preserve">Jan 2026</t>
  </si>
  <si>
    <t xml:space="preserve">'My Future Fund' — mandatory auto-enrolment now live; a one-off wave of first-time pension savers needing education</t>
  </si>
  <si>
    <t xml:space="preserve">gov.ie / CSO</t>
  </si>
  <si>
    <t xml:space="preserve">Newly enrolled workers</t>
  </si>
  <si>
    <t xml:space="preserve">~763,000</t>
  </si>
  <si>
    <t xml:space="preserve">Employees auto-enrolled across ~104,000 employers; ~800k get a workplace pension for the first time</t>
  </si>
  <si>
    <t xml:space="preserve">gov.ie (My Future Fund)</t>
  </si>
  <si>
    <t xml:space="preserve">Who's eligible</t>
  </si>
  <si>
    <t xml:space="preserve">23–60, &gt;€20k</t>
  </si>
  <si>
    <t xml:space="preserve">Not already in a scheme — precisely the disengaged, under-advised segment</t>
  </si>
  <si>
    <t xml:space="preserve">L&amp;E Global / NFP</t>
  </si>
  <si>
    <t xml:space="preserve">Advice gap</t>
  </si>
  <si>
    <t xml:space="preserve">66%</t>
  </si>
  <si>
    <t xml:space="preserve">Two-thirds of adults have NEVER spoken 1:1 to an adviser about retirement</t>
  </si>
  <si>
    <t xml:space="preserve">Bluewater FP / industry</t>
  </si>
  <si>
    <t xml:space="preserve">Preparedness gap</t>
  </si>
  <si>
    <t xml:space="preserve">21%</t>
  </si>
  <si>
    <t xml:space="preserve">74% feel they manage day-to-day money well, but only 21% feel prepared for retirement (10% of 55–64s)</t>
  </si>
  <si>
    <t xml:space="preserve">Bluewater FP</t>
  </si>
  <si>
    <t xml:space="preserve">Access divide</t>
  </si>
  <si>
    <t xml:space="preserve">12% vs 51%</t>
  </si>
  <si>
    <t xml:space="preserve">Only 12% of lower socio-economic (DE) have seen an adviser vs 51% of AB — a big underserved middle</t>
  </si>
  <si>
    <t xml:space="preserve">Pension coverage</t>
  </si>
  <si>
    <t xml:space="preserve">~two-thirds</t>
  </si>
  <si>
    <t xml:space="preserve">Q3 2025: ~66% of workers have some supplementary cover; lowest among the young</t>
  </si>
  <si>
    <t xml:space="preserve">CSO Pension Coverage 2025</t>
  </si>
  <si>
    <t xml:space="preserve">Adviser seats (narrow)</t>
  </si>
  <si>
    <t xml:space="preserve">1,061</t>
  </si>
  <si>
    <t xml:space="preserve">FPSB Ireland certified holistic planners — the model's TAM base</t>
  </si>
  <si>
    <t xml:space="preserve">FPSB Ireland</t>
  </si>
  <si>
    <t xml:space="preserve">Broker firms</t>
  </si>
  <si>
    <t xml:space="preserve">1,200–1,250</t>
  </si>
  <si>
    <t xml:space="preserve">Brokers Ireland member firms (insurance/financial/mortgage)</t>
  </si>
  <si>
    <t xml:space="preserve">Brokers Ireland</t>
  </si>
  <si>
    <t xml:space="preserve">QFA holders (broad)</t>
  </si>
  <si>
    <t xml:space="preserve">22,000+</t>
  </si>
  <si>
    <t xml:space="preserve">Total QFA designations — a ceiling, not practising holistic advisers</t>
  </si>
  <si>
    <t xml:space="preserve">IOB</t>
  </si>
  <si>
    <t xml:space="preserve">Localisation wedge</t>
  </si>
  <si>
    <t xml:space="preserve">SFT / ARF</t>
  </si>
  <si>
    <t xml:space="preserve">Irish pension tax (Standard Fund Threshold, ARF, lump-sum) is 'one of the most technically complex areas' — UK tools don't model it</t>
  </si>
  <si>
    <t xml:space="preserve">Chase Buchanan / opesfp</t>
  </si>
  <si>
    <t xml:space="preserve">B2C competitors</t>
  </si>
  <si>
    <t xml:space="preserve">askpaul, Money Smart, Elevate</t>
  </si>
  <si>
    <t xml:space="preserve">Content-led Irish advice already works (askpaul) — validation AND competition; incumbents Irish Life, Standard Life</t>
  </si>
  <si>
    <t xml:space="preserve">bestinireland / vendor sites</t>
  </si>
  <si>
    <t xml:space="preserve">So what</t>
  </si>
  <si>
    <t xml:space="preserve">~800,000 newly-enrolled, mostly-disengaged savers who don't understand pensions, arriving in the same 12 months, in a market where UK tools can't speak Irish tax and a QFA with a visual explainer can. That is the opening — and it is a consumer-education/advice opening, not a back-office-SaaS one.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</si>
</sst>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€#,##0;&quot;(€&quot;#,##0\);\-"/>
    <numFmt numFmtId="166" formatCode="0.0%"/>
    <numFmt numFmtId="167" formatCode="#,##0.0"/>
    <numFmt numFmtId="168" formatCode="\€#,##0.00;&quot;(€&quot;#,##0.00\);\-"/>
    <numFmt numFmtId="169" formatCode="0.0\x"/>
    <numFmt numFmtId="170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A0A0A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16"/>
    <col collapsed="false" customWidth="true" hidden="false" outlineLevel="0" max="6" min="6" style="1" width="52"/>
  </cols>
  <sheetData>
    <row r="2" customFormat="false" ht="15.75" hidden="false" customHeight="true" outlineLevel="0" collapsed="false">
      <c r="B2" s="2" t="s">
        <v>0</v>
      </c>
    </row>
    <row r="3" customFormat="false" ht="42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</row>
    <row r="6" customFormat="false" ht="15" hidden="false" customHeight="true" outlineLevel="0" collapsed="false">
      <c r="B6" s="5" t="s">
        <v>3</v>
      </c>
      <c r="C6" s="6" t="s">
        <v>4</v>
      </c>
      <c r="D6" s="6"/>
      <c r="E6" s="6"/>
      <c r="F6" s="6"/>
    </row>
    <row r="7" customFormat="false" ht="15" hidden="false" customHeight="true" outlineLevel="0" collapsed="false">
      <c r="B7" s="7" t="s">
        <v>5</v>
      </c>
      <c r="C7" s="6" t="s">
        <v>6</v>
      </c>
      <c r="D7" s="6"/>
      <c r="E7" s="6"/>
      <c r="F7" s="6"/>
    </row>
    <row r="8" customFormat="false" ht="15" hidden="false" customHeight="true" outlineLevel="0" collapsed="false">
      <c r="B8" s="8" t="s">
        <v>7</v>
      </c>
      <c r="C8" s="6" t="s">
        <v>8</v>
      </c>
      <c r="D8" s="6"/>
      <c r="E8" s="6"/>
      <c r="F8" s="6"/>
    </row>
    <row r="9" customFormat="false" ht="15" hidden="false" customHeight="true" outlineLevel="0" collapsed="false">
      <c r="B9" s="9" t="s">
        <v>9</v>
      </c>
      <c r="C9" s="6" t="s">
        <v>10</v>
      </c>
      <c r="D9" s="6"/>
      <c r="E9" s="6"/>
      <c r="F9" s="6"/>
    </row>
    <row r="11" customFormat="false" ht="15" hidden="false" customHeight="true" outlineLevel="0" collapsed="false">
      <c r="B11" s="4" t="s">
        <v>11</v>
      </c>
    </row>
    <row r="12" customFormat="false" ht="30" hidden="false" customHeight="true" outlineLevel="0" collapsed="false">
      <c r="B12" s="10" t="s">
        <v>12</v>
      </c>
      <c r="C12" s="11" t="s">
        <v>13</v>
      </c>
      <c r="D12" s="11"/>
      <c r="E12" s="11"/>
      <c r="F12" s="11"/>
    </row>
    <row r="13" customFormat="false" ht="30" hidden="false" customHeight="true" outlineLevel="0" collapsed="false">
      <c r="B13" s="10" t="s">
        <v>14</v>
      </c>
      <c r="C13" s="11" t="s">
        <v>15</v>
      </c>
      <c r="D13" s="11"/>
      <c r="E13" s="11"/>
      <c r="F13" s="11"/>
    </row>
    <row r="14" customFormat="false" ht="30" hidden="false" customHeight="true" outlineLevel="0" collapsed="false">
      <c r="B14" s="10" t="s">
        <v>16</v>
      </c>
      <c r="C14" s="11" t="s">
        <v>17</v>
      </c>
      <c r="D14" s="11"/>
      <c r="E14" s="11"/>
      <c r="F14" s="11"/>
    </row>
    <row r="15" customFormat="false" ht="30" hidden="false" customHeight="true" outlineLevel="0" collapsed="false">
      <c r="B15" s="10" t="s">
        <v>18</v>
      </c>
      <c r="C15" s="11" t="s">
        <v>19</v>
      </c>
      <c r="D15" s="11"/>
      <c r="E15" s="11"/>
      <c r="F15" s="11"/>
    </row>
    <row r="16" customFormat="false" ht="30" hidden="false" customHeight="true" outlineLevel="0" collapsed="false">
      <c r="B16" s="10" t="s">
        <v>20</v>
      </c>
      <c r="C16" s="11" t="s">
        <v>21</v>
      </c>
      <c r="D16" s="11"/>
      <c r="E16" s="11"/>
      <c r="F16" s="11"/>
    </row>
    <row r="18" customFormat="false" ht="15" hidden="false" customHeight="true" outlineLevel="0" collapsed="false">
      <c r="B18" s="4" t="s">
        <v>22</v>
      </c>
    </row>
    <row r="19" customFormat="false" ht="48" hidden="false" customHeight="true" outlineLevel="0" collapsed="false">
      <c r="B19" s="12" t="s">
        <v>23</v>
      </c>
      <c r="C19" s="12"/>
      <c r="D19" s="12"/>
      <c r="E19" s="12"/>
      <c r="F19" s="12"/>
    </row>
    <row r="20" customFormat="false" ht="15" hidden="false" customHeight="true" outlineLevel="0" collapsed="false">
      <c r="B20" s="12"/>
      <c r="C20" s="12"/>
      <c r="D20" s="12"/>
      <c r="E20" s="12"/>
      <c r="F20" s="12"/>
    </row>
    <row r="21" customFormat="false" ht="15" hidden="false" customHeight="true" outlineLevel="0" collapsed="false">
      <c r="B21" s="12"/>
      <c r="C21" s="12"/>
      <c r="D21" s="12"/>
      <c r="E21" s="12"/>
      <c r="F21" s="12"/>
    </row>
    <row r="23" customFormat="false" ht="15" hidden="false" customHeight="true" outlineLevel="0" collapsed="false">
      <c r="B23" s="13" t="s">
        <v>24</v>
      </c>
      <c r="C23" s="13"/>
      <c r="D23" s="13"/>
      <c r="E23" s="13"/>
      <c r="F23" s="13"/>
    </row>
  </sheetData>
  <mergeCells count="12">
    <mergeCell ref="B3:F3"/>
    <mergeCell ref="C6:F6"/>
    <mergeCell ref="C7:F7"/>
    <mergeCell ref="C8:F8"/>
    <mergeCell ref="C9:F9"/>
    <mergeCell ref="C12:F12"/>
    <mergeCell ref="C13:F13"/>
    <mergeCell ref="C14:F14"/>
    <mergeCell ref="C15:F15"/>
    <mergeCell ref="C16:F16"/>
    <mergeCell ref="B19:F21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40"/>
  </cols>
  <sheetData>
    <row r="2" customFormat="false" ht="15.75" hidden="false" customHeight="true" outlineLevel="0" collapsed="false">
      <c r="B2" s="2" t="s">
        <v>25</v>
      </c>
    </row>
    <row r="3" customFormat="false" ht="15" hidden="false" customHeight="true" outlineLevel="0" collapsed="false">
      <c r="B3" s="14" t="s">
        <v>26</v>
      </c>
      <c r="C3" s="14"/>
      <c r="D3" s="14"/>
      <c r="E3" s="14"/>
    </row>
    <row r="5" customFormat="false" ht="15" hidden="false" customHeight="true" outlineLevel="0" collapsed="false">
      <c r="B5" s="4" t="s">
        <v>27</v>
      </c>
      <c r="C5" s="4" t="s">
        <v>28</v>
      </c>
      <c r="D5" s="4"/>
      <c r="E5" s="4"/>
    </row>
    <row r="6" customFormat="false" ht="15" hidden="false" customHeight="true" outlineLevel="0" collapsed="false">
      <c r="B6" s="15" t="s">
        <v>29</v>
      </c>
      <c r="C6" s="16" t="n">
        <v>75000</v>
      </c>
      <c r="E6" s="17" t="s">
        <v>30</v>
      </c>
    </row>
    <row r="7" customFormat="false" ht="15" hidden="false" customHeight="true" outlineLevel="0" collapsed="false">
      <c r="B7" s="15" t="s">
        <v>31</v>
      </c>
      <c r="C7" s="16" t="n">
        <v>47500</v>
      </c>
      <c r="E7" s="17" t="s">
        <v>32</v>
      </c>
    </row>
    <row r="8" customFormat="false" ht="15" hidden="false" customHeight="true" outlineLevel="0" collapsed="false">
      <c r="B8" s="15" t="s">
        <v>33</v>
      </c>
      <c r="C8" s="18" t="n">
        <v>0.1115</v>
      </c>
      <c r="E8" s="17" t="s">
        <v>34</v>
      </c>
    </row>
    <row r="9" customFormat="false" ht="15" hidden="false" customHeight="true" outlineLevel="0" collapsed="false">
      <c r="B9" s="15" t="s">
        <v>35</v>
      </c>
      <c r="C9" s="18" t="n">
        <v>0.05</v>
      </c>
      <c r="E9" s="17" t="s">
        <v>36</v>
      </c>
    </row>
    <row r="10" customFormat="false" ht="15" hidden="false" customHeight="true" outlineLevel="0" collapsed="false">
      <c r="B10" s="15" t="s">
        <v>37</v>
      </c>
      <c r="C10" s="19" t="n">
        <v>39</v>
      </c>
      <c r="E10" s="17" t="s">
        <v>36</v>
      </c>
    </row>
    <row r="11" customFormat="false" ht="15" hidden="false" customHeight="true" outlineLevel="0" collapsed="false">
      <c r="B11" s="15" t="s">
        <v>38</v>
      </c>
      <c r="C11" s="19" t="n">
        <v>46</v>
      </c>
      <c r="E11" s="17" t="s">
        <v>39</v>
      </c>
    </row>
    <row r="12" customFormat="false" ht="15" hidden="false" customHeight="true" outlineLevel="0" collapsed="false">
      <c r="B12" s="15" t="s">
        <v>40</v>
      </c>
      <c r="C12" s="18" t="n">
        <v>0.7</v>
      </c>
      <c r="E12" s="17" t="s">
        <v>41</v>
      </c>
    </row>
    <row r="13" customFormat="false" ht="15" hidden="false" customHeight="true" outlineLevel="0" collapsed="false">
      <c r="B13" s="15" t="s">
        <v>42</v>
      </c>
      <c r="C13" s="18" t="n">
        <v>0.8</v>
      </c>
      <c r="E13" s="17" t="s">
        <v>36</v>
      </c>
    </row>
    <row r="14" customFormat="false" ht="15" hidden="false" customHeight="true" outlineLevel="0" collapsed="false">
      <c r="B14" s="15" t="s">
        <v>43</v>
      </c>
      <c r="C14" s="19" t="n">
        <v>2</v>
      </c>
      <c r="E14" s="17" t="s">
        <v>44</v>
      </c>
    </row>
    <row r="15" customFormat="false" ht="15" hidden="false" customHeight="true" outlineLevel="0" collapsed="false">
      <c r="B15" s="15" t="s">
        <v>45</v>
      </c>
      <c r="C15" s="19" t="n">
        <v>1.75</v>
      </c>
      <c r="E15" s="17" t="s">
        <v>44</v>
      </c>
    </row>
    <row r="16" customFormat="false" ht="15" hidden="false" customHeight="true" outlineLevel="0" collapsed="false">
      <c r="B16" s="15" t="s">
        <v>46</v>
      </c>
      <c r="C16" s="16" t="n">
        <v>250</v>
      </c>
      <c r="E16" s="17" t="s">
        <v>47</v>
      </c>
    </row>
    <row r="17" customFormat="false" ht="15" hidden="false" customHeight="true" outlineLevel="0" collapsed="false">
      <c r="B17" s="15" t="s">
        <v>48</v>
      </c>
      <c r="C17" s="16" t="n">
        <v>150</v>
      </c>
      <c r="E17" s="17" t="s">
        <v>47</v>
      </c>
    </row>
    <row r="18" customFormat="false" ht="15" hidden="false" customHeight="true" outlineLevel="0" collapsed="false">
      <c r="B18" s="20" t="s">
        <v>49</v>
      </c>
      <c r="C18" s="21" t="n">
        <v>24</v>
      </c>
      <c r="E18" s="17" t="s">
        <v>50</v>
      </c>
    </row>
    <row r="19" customFormat="false" ht="15" hidden="false" customHeight="true" outlineLevel="0" collapsed="false">
      <c r="B19" s="20" t="s">
        <v>51</v>
      </c>
      <c r="C19" s="22" t="n">
        <v>0.5</v>
      </c>
      <c r="E19" s="17" t="s">
        <v>52</v>
      </c>
    </row>
    <row r="20" customFormat="false" ht="15" hidden="false" customHeight="true" outlineLevel="0" collapsed="false">
      <c r="B20" s="20" t="s">
        <v>53</v>
      </c>
      <c r="C20" s="23" t="n">
        <v>200</v>
      </c>
      <c r="E20" s="17" t="s">
        <v>54</v>
      </c>
    </row>
    <row r="22" customFormat="false" ht="15" hidden="false" customHeight="true" outlineLevel="0" collapsed="false">
      <c r="B22" s="4" t="s">
        <v>55</v>
      </c>
      <c r="C22" s="4"/>
      <c r="D22" s="4"/>
      <c r="E22" s="4"/>
    </row>
    <row r="23" customFormat="false" ht="15" hidden="false" customHeight="true" outlineLevel="0" collapsed="false">
      <c r="B23" s="15" t="s">
        <v>56</v>
      </c>
      <c r="C23" s="24" t="n">
        <f aca="false">C6*(1+C8+C9)/(C10*C11)</f>
        <v>48.5576923076923</v>
      </c>
    </row>
    <row r="24" customFormat="false" ht="15" hidden="false" customHeight="true" outlineLevel="0" collapsed="false">
      <c r="B24" s="15" t="s">
        <v>57</v>
      </c>
      <c r="C24" s="24" t="n">
        <f aca="false">C7*(1+C8+C9)/(C10*C11)</f>
        <v>30.7532051282051</v>
      </c>
    </row>
    <row r="25" customFormat="false" ht="15" hidden="false" customHeight="true" outlineLevel="0" collapsed="false">
      <c r="B25" s="15" t="s">
        <v>58</v>
      </c>
      <c r="C25" s="24" t="n">
        <f aca="false">C23/C12</f>
        <v>69.3681318681319</v>
      </c>
    </row>
    <row r="26" customFormat="false" ht="15" hidden="false" customHeight="true" outlineLevel="0" collapsed="false">
      <c r="B26" s="15" t="s">
        <v>59</v>
      </c>
      <c r="C26" s="24" t="n">
        <f aca="false">C24/C13</f>
        <v>38.4415064102564</v>
      </c>
    </row>
    <row r="27" customFormat="false" ht="15" hidden="false" customHeight="true" outlineLevel="0" collapsed="false">
      <c r="B27" s="15" t="s">
        <v>60</v>
      </c>
      <c r="C27" s="25" t="n">
        <f aca="false">C14*C25+C15*C26</f>
        <v>206.008899954212</v>
      </c>
      <c r="E27" s="17" t="s">
        <v>61</v>
      </c>
    </row>
    <row r="28" customFormat="false" ht="15" hidden="false" customHeight="true" outlineLevel="0" collapsed="false">
      <c r="B28" s="15" t="s">
        <v>62</v>
      </c>
      <c r="C28" s="25" t="n">
        <f aca="false">C14*C16+C15*C17</f>
        <v>762.5</v>
      </c>
      <c r="E28" s="17" t="s">
        <v>63</v>
      </c>
    </row>
    <row r="29" customFormat="false" ht="15" hidden="false" customHeight="true" outlineLevel="0" collapsed="false">
      <c r="B29" s="15" t="s">
        <v>64</v>
      </c>
      <c r="C29" s="25" t="n">
        <f aca="false">C20*12</f>
        <v>2400</v>
      </c>
    </row>
    <row r="30" customFormat="false" ht="15" hidden="false" customHeight="true" outlineLevel="0" collapsed="false">
      <c r="B30" s="15" t="s">
        <v>65</v>
      </c>
      <c r="C30" s="25" t="n">
        <f aca="false">C27*C19*C18</f>
        <v>2472.10679945055</v>
      </c>
      <c r="E30" s="17" t="s">
        <v>66</v>
      </c>
    </row>
    <row r="31" customFormat="false" ht="15" hidden="false" customHeight="true" outlineLevel="0" collapsed="false">
      <c r="B31" s="15" t="s">
        <v>67</v>
      </c>
      <c r="C31" s="25" t="n">
        <f aca="false">C28*C19*C18</f>
        <v>9150</v>
      </c>
      <c r="E31" s="17" t="s">
        <v>68</v>
      </c>
    </row>
    <row r="32" customFormat="false" ht="15" hidden="false" customHeight="true" outlineLevel="0" collapsed="false">
      <c r="B32" s="26" t="s">
        <v>69</v>
      </c>
      <c r="C32" s="27" t="n">
        <f aca="false">C30/C29</f>
        <v>1.03004449977106</v>
      </c>
      <c r="E32" s="17" t="s">
        <v>70</v>
      </c>
    </row>
    <row r="33" customFormat="false" ht="15" hidden="false" customHeight="true" outlineLevel="0" collapsed="false">
      <c r="B33" s="15" t="s">
        <v>71</v>
      </c>
      <c r="C33" s="28" t="n">
        <f aca="false">C31/C29</f>
        <v>3.8125</v>
      </c>
    </row>
    <row r="34" customFormat="false" ht="15" hidden="false" customHeight="true" outlineLevel="0" collapsed="false">
      <c r="B34" s="26" t="s">
        <v>72</v>
      </c>
      <c r="C34" s="29" t="n">
        <f aca="false">C29/C30</f>
        <v>0.970831842917719</v>
      </c>
      <c r="E34" s="17" t="s">
        <v>73</v>
      </c>
    </row>
    <row r="36" customFormat="false" ht="39.75" hidden="false" customHeight="true" outlineLevel="0" collapsed="false">
      <c r="B36" s="30" t="s">
        <v>74</v>
      </c>
      <c r="C36" s="30"/>
      <c r="D36" s="30"/>
      <c r="E36" s="30"/>
    </row>
    <row r="37" customFormat="false" ht="15" hidden="false" customHeight="true" outlineLevel="0" collapsed="false">
      <c r="B37" s="30"/>
      <c r="C37" s="30"/>
      <c r="D37" s="30"/>
      <c r="E37" s="30"/>
    </row>
    <row r="39" customFormat="false" ht="15" hidden="false" customHeight="true" outlineLevel="0" collapsed="false">
      <c r="B39" s="4" t="s">
        <v>75</v>
      </c>
      <c r="C39" s="4"/>
      <c r="D39" s="4"/>
      <c r="E39" s="4"/>
    </row>
    <row r="40" customFormat="false" ht="15" hidden="false" customHeight="true" outlineLevel="0" collapsed="false">
      <c r="B40" s="31" t="s">
        <v>76</v>
      </c>
      <c r="C40" s="32" t="n">
        <v>18</v>
      </c>
      <c r="D40" s="32" t="n">
        <v>24</v>
      </c>
      <c r="E40" s="32" t="n">
        <v>36</v>
      </c>
    </row>
    <row r="41" customFormat="false" ht="15" hidden="false" customHeight="true" outlineLevel="0" collapsed="false">
      <c r="B41" s="33" t="n">
        <v>0.25</v>
      </c>
      <c r="C41" s="34" t="n">
        <f aca="false">(C27*0.25*18)/C29</f>
        <v>0.386266687414148</v>
      </c>
      <c r="D41" s="34" t="n">
        <f aca="false">(C27*0.25*24)/C29</f>
        <v>0.515022249885531</v>
      </c>
      <c r="E41" s="34" t="n">
        <f aca="false">(C27*0.25*36)/C29</f>
        <v>0.772533374828297</v>
      </c>
    </row>
    <row r="42" customFormat="false" ht="15" hidden="false" customHeight="true" outlineLevel="0" collapsed="false">
      <c r="B42" s="33" t="n">
        <v>0.5</v>
      </c>
      <c r="C42" s="34" t="n">
        <f aca="false">(C27*0.5*18)/C29</f>
        <v>0.772533374828297</v>
      </c>
      <c r="D42" s="35" t="n">
        <f aca="false">(C27*0.5*24)/C29</f>
        <v>1.03004449977106</v>
      </c>
      <c r="E42" s="35" t="n">
        <f aca="false">(C27*0.5*36)/C29</f>
        <v>1.54506674965659</v>
      </c>
    </row>
    <row r="43" customFormat="false" ht="15" hidden="false" customHeight="true" outlineLevel="0" collapsed="false">
      <c r="B43" s="33" t="n">
        <v>0.75</v>
      </c>
      <c r="C43" s="35" t="n">
        <f aca="false">(C27*0.75*18)/C29</f>
        <v>1.15880006224245</v>
      </c>
      <c r="D43" s="35" t="n">
        <f aca="false">(C27*0.75*24)/C29</f>
        <v>1.54506674965659</v>
      </c>
      <c r="E43" s="35" t="n">
        <f aca="false">(C27*0.75*36)/C29</f>
        <v>2.31760012448489</v>
      </c>
    </row>
    <row r="44" customFormat="false" ht="15" hidden="false" customHeight="true" outlineLevel="0" collapsed="false">
      <c r="B44" s="13" t="s">
        <v>77</v>
      </c>
      <c r="C44" s="13"/>
      <c r="D44" s="13"/>
      <c r="E44" s="13"/>
    </row>
  </sheetData>
  <mergeCells count="3">
    <mergeCell ref="B3:E3"/>
    <mergeCell ref="B36:E37"/>
    <mergeCell ref="B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5.75" hidden="false" customHeight="true" outlineLevel="0" collapsed="false">
      <c r="B2" s="2" t="s">
        <v>78</v>
      </c>
    </row>
    <row r="3" customFormat="false" ht="42" hidden="false" customHeight="true" outlineLevel="0" collapsed="false">
      <c r="B3" s="3" t="s">
        <v>79</v>
      </c>
      <c r="C3" s="3"/>
      <c r="D3" s="3"/>
      <c r="E3" s="3"/>
      <c r="F3" s="3"/>
    </row>
    <row r="5" customFormat="false" ht="15" hidden="false" customHeight="true" outlineLevel="0" collapsed="false">
      <c r="B5" s="4" t="s">
        <v>80</v>
      </c>
    </row>
    <row r="6" customFormat="false" ht="15" hidden="false" customHeight="true" outlineLevel="0" collapsed="false">
      <c r="B6" s="15" t="s">
        <v>49</v>
      </c>
      <c r="C6" s="19" t="n">
        <v>24</v>
      </c>
    </row>
    <row r="7" customFormat="false" ht="15" hidden="false" customHeight="true" outlineLevel="0" collapsed="false">
      <c r="B7" s="15" t="s">
        <v>81</v>
      </c>
      <c r="C7" s="18" t="n">
        <v>0.3</v>
      </c>
    </row>
    <row r="8" customFormat="false" ht="15" hidden="false" customHeight="true" outlineLevel="0" collapsed="false">
      <c r="B8" s="20" t="s">
        <v>82</v>
      </c>
      <c r="C8" s="22" t="n">
        <v>0.03</v>
      </c>
    </row>
    <row r="9" customFormat="false" ht="15" hidden="false" customHeight="true" outlineLevel="0" collapsed="false">
      <c r="B9" s="20" t="s">
        <v>83</v>
      </c>
      <c r="C9" s="23" t="n">
        <v>2000</v>
      </c>
    </row>
    <row r="11" customFormat="false" ht="15" hidden="false" customHeight="true" outlineLevel="0" collapsed="false">
      <c r="B11" s="4" t="s">
        <v>84</v>
      </c>
    </row>
    <row r="12" customFormat="false" ht="15" hidden="false" customHeight="true" outlineLevel="0" collapsed="false">
      <c r="B12" s="15" t="s">
        <v>85</v>
      </c>
      <c r="C12" s="36" t="n">
        <f aca="false">C6*C8</f>
        <v>0.72</v>
      </c>
      <c r="E12" s="13" t="s">
        <v>86</v>
      </c>
      <c r="F12" s="13"/>
    </row>
    <row r="13" customFormat="false" ht="15" hidden="false" customHeight="true" outlineLevel="0" collapsed="false">
      <c r="B13" s="26" t="s">
        <v>87</v>
      </c>
      <c r="C13" s="37" t="n">
        <f aca="false">C12*C9</f>
        <v>1440</v>
      </c>
      <c r="E13" s="13" t="s">
        <v>88</v>
      </c>
      <c r="F13" s="13"/>
    </row>
    <row r="14" customFormat="false" ht="15" hidden="false" customHeight="true" outlineLevel="0" collapsed="false">
      <c r="B14" s="38"/>
      <c r="C14" s="39" t="n">
        <f aca="false">'Adviser SaaS'!C30</f>
        <v>2472.10679945055</v>
      </c>
    </row>
    <row r="15" customFormat="false" ht="15" hidden="false" customHeight="true" outlineLevel="0" collapsed="false">
      <c r="B15" s="40" t="s">
        <v>89</v>
      </c>
      <c r="C15" s="41" t="n">
        <f aca="false">C13/C14</f>
        <v>0.582499105750631</v>
      </c>
      <c r="E15" s="13" t="s">
        <v>90</v>
      </c>
      <c r="F15" s="13"/>
    </row>
    <row r="17" customFormat="false" ht="39.75" hidden="false" customHeight="true" outlineLevel="0" collapsed="false">
      <c r="B17" s="42" t="s">
        <v>91</v>
      </c>
      <c r="C17" s="42"/>
      <c r="D17" s="42"/>
      <c r="E17" s="42"/>
      <c r="F17" s="42"/>
    </row>
    <row r="18" customFormat="false" ht="15" hidden="false" customHeight="true" outlineLevel="0" collapsed="false">
      <c r="B18" s="42"/>
      <c r="C18" s="42"/>
      <c r="D18" s="42"/>
      <c r="E18" s="42"/>
      <c r="F18" s="42"/>
    </row>
    <row r="20" customFormat="false" ht="15" hidden="false" customHeight="true" outlineLevel="0" collapsed="false">
      <c r="B20" s="4" t="s">
        <v>92</v>
      </c>
      <c r="C20" s="4"/>
      <c r="D20" s="4"/>
      <c r="E20" s="4"/>
      <c r="F20" s="4"/>
    </row>
    <row r="21" customFormat="false" ht="30" hidden="false" customHeight="true" outlineLevel="0" collapsed="false">
      <c r="B21" s="43" t="s">
        <v>93</v>
      </c>
      <c r="C21" s="43" t="s">
        <v>94</v>
      </c>
      <c r="D21" s="43" t="s">
        <v>69</v>
      </c>
      <c r="E21" s="43" t="s">
        <v>95</v>
      </c>
      <c r="F21" s="43" t="s">
        <v>96</v>
      </c>
    </row>
    <row r="22" customFormat="false" ht="15" hidden="false" customHeight="true" outlineLevel="0" collapsed="false">
      <c r="B22" s="44" t="n">
        <v>50</v>
      </c>
      <c r="C22" s="45" t="n">
        <f aca="false">B22*12</f>
        <v>600</v>
      </c>
      <c r="D22" s="46" t="n">
        <f aca="false">C14/(B22*12)</f>
        <v>4.12017799908425</v>
      </c>
      <c r="E22" s="46" t="n">
        <f aca="false">(C14+C13)/(B22*12)</f>
        <v>6.52017799908425</v>
      </c>
      <c r="F22" s="46" t="n">
        <f aca="false">('Adviser SaaS'!C31+C13)/(B22*12)</f>
        <v>17.65</v>
      </c>
    </row>
    <row r="23" customFormat="false" ht="15" hidden="false" customHeight="true" outlineLevel="0" collapsed="false">
      <c r="B23" s="47" t="n">
        <v>100</v>
      </c>
      <c r="C23" s="45" t="n">
        <f aca="false">B23*12</f>
        <v>1200</v>
      </c>
      <c r="D23" s="46" t="n">
        <f aca="false">C14/(B23*12)</f>
        <v>2.06008899954212</v>
      </c>
      <c r="E23" s="46" t="n">
        <f aca="false">(C14+C13)/(B23*12)</f>
        <v>3.26008899954212</v>
      </c>
      <c r="F23" s="46" t="n">
        <f aca="false">('Adviser SaaS'!C31+C13)/(B23*12)</f>
        <v>8.825</v>
      </c>
    </row>
    <row r="24" customFormat="false" ht="15" hidden="false" customHeight="true" outlineLevel="0" collapsed="false">
      <c r="B24" s="44" t="n">
        <v>150</v>
      </c>
      <c r="C24" s="45" t="n">
        <f aca="false">B24*12</f>
        <v>1800</v>
      </c>
      <c r="D24" s="46" t="n">
        <f aca="false">C14/(B24*12)</f>
        <v>1.37339266636142</v>
      </c>
      <c r="E24" s="46" t="n">
        <f aca="false">(C14+C13)/(B24*12)</f>
        <v>2.17339266636142</v>
      </c>
      <c r="F24" s="46" t="n">
        <f aca="false">('Adviser SaaS'!C31+C13)/(B24*12)</f>
        <v>5.88333333333333</v>
      </c>
    </row>
    <row r="25" customFormat="false" ht="15" hidden="false" customHeight="true" outlineLevel="0" collapsed="false">
      <c r="B25" s="44" t="n">
        <v>200</v>
      </c>
      <c r="C25" s="45" t="n">
        <f aca="false">B25*12</f>
        <v>2400</v>
      </c>
      <c r="D25" s="46" t="n">
        <f aca="false">C14/(B25*12)</f>
        <v>1.03004449977106</v>
      </c>
      <c r="E25" s="46" t="n">
        <f aca="false">(C14+C13)/(B25*12)</f>
        <v>1.63004449977106</v>
      </c>
      <c r="F25" s="46" t="n">
        <f aca="false">('Adviser SaaS'!C31+C13)/(B25*12)</f>
        <v>4.4125</v>
      </c>
    </row>
    <row r="26" customFormat="false" ht="15" hidden="false" customHeight="true" outlineLevel="0" collapsed="false">
      <c r="B26" s="44" t="n">
        <v>300</v>
      </c>
      <c r="C26" s="45" t="n">
        <f aca="false">B26*12</f>
        <v>3600</v>
      </c>
      <c r="D26" s="46" t="n">
        <f aca="false">C14/(B26*12)</f>
        <v>0.686696333180708</v>
      </c>
      <c r="E26" s="46" t="n">
        <f aca="false">(C14+C13)/(B26*12)</f>
        <v>1.08669633318071</v>
      </c>
      <c r="F26" s="46" t="n">
        <f aca="false">('Adviser SaaS'!C31+C13)/(B26*12)</f>
        <v>2.94166666666667</v>
      </c>
    </row>
    <row r="27" customFormat="false" ht="27.75" hidden="false" customHeight="true" outlineLevel="0" collapsed="false">
      <c r="B27" s="48" t="s">
        <v>97</v>
      </c>
      <c r="C27" s="48"/>
      <c r="D27" s="48"/>
      <c r="E27" s="48"/>
      <c r="F27" s="48"/>
    </row>
  </sheetData>
  <mergeCells count="6">
    <mergeCell ref="B3:F3"/>
    <mergeCell ref="E12:F12"/>
    <mergeCell ref="E13:F13"/>
    <mergeCell ref="E15:F15"/>
    <mergeCell ref="B17:F18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1" width="26"/>
  </cols>
  <sheetData>
    <row r="2" customFormat="false" ht="15.75" hidden="false" customHeight="true" outlineLevel="0" collapsed="false">
      <c r="B2" s="2" t="s">
        <v>98</v>
      </c>
    </row>
    <row r="3" customFormat="false" ht="31.5" hidden="false" customHeight="true" outlineLevel="0" collapsed="false">
      <c r="B3" s="3" t="s">
        <v>99</v>
      </c>
      <c r="C3" s="3"/>
      <c r="D3" s="3"/>
      <c r="E3" s="3"/>
    </row>
    <row r="5" customFormat="false" ht="30" hidden="false" customHeight="true" outlineLevel="0" collapsed="false">
      <c r="B5" s="49"/>
      <c r="C5" s="50" t="s">
        <v>100</v>
      </c>
      <c r="D5" s="50" t="s">
        <v>101</v>
      </c>
      <c r="E5" s="50" t="s">
        <v>102</v>
      </c>
    </row>
    <row r="6" customFormat="false" ht="45.75" hidden="false" customHeight="true" outlineLevel="0" collapsed="false">
      <c r="B6" s="51" t="s">
        <v>103</v>
      </c>
      <c r="C6" s="52" t="s">
        <v>104</v>
      </c>
      <c r="D6" s="52" t="s">
        <v>105</v>
      </c>
      <c r="E6" s="52" t="s">
        <v>106</v>
      </c>
    </row>
    <row r="7" customFormat="false" ht="45.75" hidden="false" customHeight="true" outlineLevel="0" collapsed="false">
      <c r="B7" s="51" t="s">
        <v>107</v>
      </c>
      <c r="C7" s="52" t="s">
        <v>108</v>
      </c>
      <c r="D7" s="52" t="s">
        <v>109</v>
      </c>
      <c r="E7" s="52" t="s">
        <v>110</v>
      </c>
    </row>
    <row r="8" customFormat="false" ht="45.75" hidden="false" customHeight="true" outlineLevel="0" collapsed="false">
      <c r="B8" s="51" t="s">
        <v>111</v>
      </c>
      <c r="C8" s="52" t="s">
        <v>112</v>
      </c>
      <c r="D8" s="52" t="s">
        <v>113</v>
      </c>
      <c r="E8" s="52" t="s">
        <v>114</v>
      </c>
    </row>
    <row r="9" customFormat="false" ht="15" hidden="false" customHeight="true" outlineLevel="0" collapsed="false">
      <c r="B9" s="51" t="s">
        <v>115</v>
      </c>
      <c r="C9" s="53"/>
      <c r="D9" s="53"/>
      <c r="E9" s="53"/>
    </row>
    <row r="10" customFormat="false" ht="13.5" hidden="false" customHeight="true" outlineLevel="0" collapsed="false">
      <c r="B10" s="54" t="s">
        <v>116</v>
      </c>
      <c r="C10" s="55" t="n">
        <v>6</v>
      </c>
      <c r="D10" s="56" t="n">
        <v>1250</v>
      </c>
      <c r="E10" s="56" t="n">
        <v>1061</v>
      </c>
    </row>
    <row r="11" customFormat="false" ht="13.5" hidden="false" customHeight="true" outlineLevel="0" collapsed="false">
      <c r="B11" s="54" t="s">
        <v>117</v>
      </c>
      <c r="C11" s="55" t="n">
        <v>46</v>
      </c>
      <c r="D11" s="33" t="n">
        <v>0.08</v>
      </c>
      <c r="E11" s="33" t="n">
        <v>0.6</v>
      </c>
    </row>
    <row r="12" customFormat="false" ht="13.5" hidden="false" customHeight="true" outlineLevel="0" collapsed="false">
      <c r="B12" s="54" t="s">
        <v>118</v>
      </c>
      <c r="C12" s="33" t="n">
        <v>0.2</v>
      </c>
      <c r="D12" s="55" t="n">
        <v>2</v>
      </c>
      <c r="E12" s="33" t="n">
        <v>0.05</v>
      </c>
    </row>
    <row r="13" customFormat="false" ht="13.5" hidden="false" customHeight="true" outlineLevel="0" collapsed="false">
      <c r="B13" s="54" t="s">
        <v>119</v>
      </c>
      <c r="C13" s="44" t="n">
        <v>2000</v>
      </c>
      <c r="D13" s="44" t="n">
        <v>75</v>
      </c>
      <c r="E13" s="44" t="n">
        <v>2400</v>
      </c>
    </row>
    <row r="14" customFormat="false" ht="15" hidden="false" customHeight="true" outlineLevel="0" collapsed="false">
      <c r="B14" s="57" t="s">
        <v>120</v>
      </c>
      <c r="C14" s="57"/>
      <c r="D14" s="57"/>
      <c r="E14" s="57"/>
    </row>
    <row r="16" customFormat="false" ht="15" hidden="false" customHeight="true" outlineLevel="0" collapsed="false">
      <c r="B16" s="58" t="s">
        <v>121</v>
      </c>
      <c r="C16" s="59" t="n">
        <f aca="false">C10*C11*C12*C13</f>
        <v>110400</v>
      </c>
      <c r="D16" s="59" t="n">
        <f aca="false">D10*D11*D12*D13*12</f>
        <v>180000</v>
      </c>
      <c r="E16" s="60" t="n">
        <f aca="false">E10*E11*E12*E13</f>
        <v>76392</v>
      </c>
    </row>
    <row r="17" customFormat="false" ht="43.5" hidden="false" customHeight="true" outlineLevel="0" collapsed="false">
      <c r="B17" s="51" t="s">
        <v>122</v>
      </c>
      <c r="C17" s="52" t="s">
        <v>123</v>
      </c>
      <c r="D17" s="52" t="s">
        <v>124</v>
      </c>
      <c r="E17" s="52" t="s">
        <v>125</v>
      </c>
    </row>
    <row r="18" customFormat="false" ht="43.5" hidden="false" customHeight="true" outlineLevel="0" collapsed="false">
      <c r="B18" s="51" t="s">
        <v>126</v>
      </c>
      <c r="C18" s="52" t="s">
        <v>127</v>
      </c>
      <c r="D18" s="52" t="s">
        <v>128</v>
      </c>
      <c r="E18" s="52" t="s">
        <v>129</v>
      </c>
    </row>
    <row r="19" customFormat="false" ht="43.5" hidden="false" customHeight="true" outlineLevel="0" collapsed="false">
      <c r="B19" s="51" t="s">
        <v>130</v>
      </c>
      <c r="C19" s="52" t="s">
        <v>131</v>
      </c>
      <c r="D19" s="52" t="s">
        <v>132</v>
      </c>
      <c r="E19" s="52" t="s">
        <v>133</v>
      </c>
    </row>
    <row r="20" customFormat="false" ht="43.5" hidden="false" customHeight="true" outlineLevel="0" collapsed="false">
      <c r="B20" s="51" t="s">
        <v>134</v>
      </c>
      <c r="C20" s="61" t="s">
        <v>135</v>
      </c>
      <c r="D20" s="62" t="s">
        <v>136</v>
      </c>
      <c r="E20" s="63" t="s">
        <v>137</v>
      </c>
    </row>
  </sheetData>
  <mergeCells count="2">
    <mergeCell ref="B3:E3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5" min="4" style="1" width="20"/>
    <col collapsed="false" customWidth="true" hidden="false" outlineLevel="0" max="6" min="6" style="1" width="14"/>
    <col collapsed="false" customWidth="true" hidden="false" outlineLevel="0" max="7" min="7" style="1" width="30"/>
  </cols>
  <sheetData>
    <row r="2" customFormat="false" ht="15.75" hidden="false" customHeight="true" outlineLevel="0" collapsed="false">
      <c r="B2" s="2" t="s">
        <v>138</v>
      </c>
    </row>
    <row r="3" customFormat="false" ht="31.5" hidden="false" customHeight="true" outlineLevel="0" collapsed="false">
      <c r="B3" s="3" t="s">
        <v>139</v>
      </c>
      <c r="C3" s="3"/>
      <c r="D3" s="3"/>
      <c r="E3" s="3"/>
      <c r="F3" s="3"/>
      <c r="G3" s="3"/>
    </row>
    <row r="5" customFormat="false" ht="30" hidden="false" customHeight="true" outlineLevel="0" collapsed="false">
      <c r="B5" s="64" t="s">
        <v>140</v>
      </c>
      <c r="C5" s="64" t="s">
        <v>141</v>
      </c>
      <c r="D5" s="64" t="s">
        <v>142</v>
      </c>
      <c r="E5" s="64" t="s">
        <v>143</v>
      </c>
      <c r="F5" s="64" t="s">
        <v>144</v>
      </c>
      <c r="G5" s="64" t="s">
        <v>145</v>
      </c>
      <c r="H5" s="64" t="s">
        <v>146</v>
      </c>
    </row>
    <row r="6" customFormat="false" ht="42" hidden="false" customHeight="true" outlineLevel="0" collapsed="false">
      <c r="B6" s="63" t="s">
        <v>147</v>
      </c>
      <c r="C6" s="63" t="s">
        <v>148</v>
      </c>
      <c r="D6" s="63" t="s">
        <v>149</v>
      </c>
      <c r="E6" s="63" t="s">
        <v>150</v>
      </c>
      <c r="F6" s="63" t="s">
        <v>151</v>
      </c>
      <c r="G6" s="63" t="s">
        <v>152</v>
      </c>
      <c r="H6" s="63" t="s">
        <v>153</v>
      </c>
    </row>
    <row r="7" customFormat="false" ht="42" hidden="false" customHeight="true" outlineLevel="0" collapsed="false">
      <c r="B7" s="63" t="s">
        <v>154</v>
      </c>
      <c r="C7" s="63" t="s">
        <v>155</v>
      </c>
      <c r="D7" s="63" t="s">
        <v>156</v>
      </c>
      <c r="E7" s="63" t="s">
        <v>157</v>
      </c>
      <c r="F7" s="63" t="s">
        <v>158</v>
      </c>
      <c r="G7" s="63" t="s">
        <v>152</v>
      </c>
      <c r="H7" s="63" t="s">
        <v>159</v>
      </c>
    </row>
    <row r="8" customFormat="false" ht="42" hidden="false" customHeight="true" outlineLevel="0" collapsed="false">
      <c r="B8" s="52" t="s">
        <v>160</v>
      </c>
      <c r="C8" s="52" t="s">
        <v>161</v>
      </c>
      <c r="D8" s="52" t="s">
        <v>162</v>
      </c>
      <c r="E8" s="52" t="s">
        <v>163</v>
      </c>
      <c r="F8" s="52" t="s">
        <v>164</v>
      </c>
      <c r="G8" s="52" t="s">
        <v>152</v>
      </c>
      <c r="H8" s="52" t="s">
        <v>165</v>
      </c>
    </row>
    <row r="9" customFormat="false" ht="42" hidden="false" customHeight="true" outlineLevel="0" collapsed="false">
      <c r="B9" s="52" t="s">
        <v>166</v>
      </c>
      <c r="C9" s="52" t="s">
        <v>167</v>
      </c>
      <c r="D9" s="52" t="s">
        <v>168</v>
      </c>
      <c r="E9" s="52" t="s">
        <v>169</v>
      </c>
      <c r="F9" s="52" t="s">
        <v>170</v>
      </c>
      <c r="G9" s="52" t="s">
        <v>171</v>
      </c>
      <c r="H9" s="52" t="s">
        <v>172</v>
      </c>
    </row>
    <row r="10" customFormat="false" ht="42" hidden="false" customHeight="true" outlineLevel="0" collapsed="false">
      <c r="B10" s="52" t="s">
        <v>173</v>
      </c>
      <c r="C10" s="52" t="s">
        <v>174</v>
      </c>
      <c r="D10" s="52" t="s">
        <v>175</v>
      </c>
      <c r="E10" s="52" t="s">
        <v>176</v>
      </c>
      <c r="F10" s="52" t="s">
        <v>177</v>
      </c>
      <c r="G10" s="52" t="s">
        <v>152</v>
      </c>
      <c r="H10" s="52" t="s">
        <v>178</v>
      </c>
    </row>
    <row r="11" customFormat="false" ht="42" hidden="false" customHeight="true" outlineLevel="0" collapsed="false">
      <c r="B11" s="52" t="s">
        <v>179</v>
      </c>
      <c r="C11" s="52" t="s">
        <v>180</v>
      </c>
      <c r="D11" s="52" t="s">
        <v>181</v>
      </c>
      <c r="E11" s="52" t="s">
        <v>182</v>
      </c>
      <c r="F11" s="52" t="s">
        <v>183</v>
      </c>
      <c r="G11" s="52" t="s">
        <v>171</v>
      </c>
      <c r="H11" s="52" t="s">
        <v>184</v>
      </c>
    </row>
    <row r="12" customFormat="false" ht="42" hidden="false" customHeight="true" outlineLevel="0" collapsed="false">
      <c r="B12" s="65" t="s">
        <v>185</v>
      </c>
      <c r="C12" s="65" t="s">
        <v>186</v>
      </c>
      <c r="D12" s="65" t="s">
        <v>187</v>
      </c>
      <c r="E12" s="65" t="s">
        <v>188</v>
      </c>
      <c r="F12" s="65" t="s">
        <v>189</v>
      </c>
      <c r="G12" s="65" t="s">
        <v>190</v>
      </c>
      <c r="H12" s="65" t="s">
        <v>191</v>
      </c>
    </row>
    <row r="14" customFormat="false" ht="15" hidden="false" customHeight="true" outlineLevel="0" collapsed="false">
      <c r="B14" s="4" t="s">
        <v>192</v>
      </c>
      <c r="C14" s="4"/>
      <c r="D14" s="4"/>
      <c r="E14" s="4"/>
      <c r="F14" s="4"/>
      <c r="G14" s="4"/>
    </row>
    <row r="15" customFormat="false" ht="25.5" hidden="false" customHeight="true" outlineLevel="0" collapsed="false">
      <c r="B15" s="11" t="s">
        <v>193</v>
      </c>
      <c r="C15" s="11"/>
      <c r="D15" s="11"/>
      <c r="E15" s="11"/>
      <c r="F15" s="11"/>
      <c r="G15" s="11"/>
    </row>
    <row r="16" customFormat="false" ht="25.5" hidden="false" customHeight="true" outlineLevel="0" collapsed="false">
      <c r="B16" s="11" t="s">
        <v>194</v>
      </c>
      <c r="C16" s="11"/>
      <c r="D16" s="11"/>
      <c r="E16" s="11"/>
      <c r="F16" s="11"/>
      <c r="G16" s="11"/>
    </row>
    <row r="17" customFormat="false" ht="25.5" hidden="false" customHeight="true" outlineLevel="0" collapsed="false">
      <c r="B17" s="11" t="s">
        <v>195</v>
      </c>
      <c r="C17" s="11"/>
      <c r="D17" s="11"/>
      <c r="E17" s="11"/>
      <c r="F17" s="11"/>
      <c r="G17" s="11"/>
    </row>
    <row r="18" customFormat="false" ht="25.5" hidden="false" customHeight="true" outlineLevel="0" collapsed="false">
      <c r="B18" s="11" t="s">
        <v>196</v>
      </c>
      <c r="C18" s="11"/>
      <c r="D18" s="11"/>
      <c r="E18" s="11"/>
      <c r="F18" s="11"/>
      <c r="G18" s="11"/>
    </row>
  </sheetData>
  <mergeCells count="5">
    <mergeCell ref="B3:G3"/>
    <mergeCell ref="B15:G15"/>
    <mergeCell ref="B16:G16"/>
    <mergeCell ref="B17:G17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44"/>
    <col collapsed="false" customWidth="true" hidden="false" outlineLevel="0" max="5" min="5" style="1" width="34"/>
  </cols>
  <sheetData>
    <row r="2" customFormat="false" ht="15.75" hidden="false" customHeight="true" outlineLevel="0" collapsed="false">
      <c r="B2" s="2" t="s">
        <v>197</v>
      </c>
    </row>
    <row r="3" customFormat="false" ht="30" hidden="false" customHeight="true" outlineLevel="0" collapsed="false">
      <c r="B3" s="3" t="s">
        <v>198</v>
      </c>
      <c r="C3" s="3"/>
      <c r="D3" s="3"/>
      <c r="E3" s="3"/>
      <c r="F3" s="3"/>
    </row>
    <row r="5" customFormat="false" ht="15" hidden="false" customHeight="true" outlineLevel="0" collapsed="false">
      <c r="B5" s="66" t="s">
        <v>199</v>
      </c>
      <c r="C5" s="66" t="s">
        <v>200</v>
      </c>
      <c r="D5" s="66" t="s">
        <v>201</v>
      </c>
      <c r="E5" s="66" t="s">
        <v>202</v>
      </c>
    </row>
    <row r="6" customFormat="false" ht="39.75" hidden="false" customHeight="true" outlineLevel="0" collapsed="false">
      <c r="B6" s="67" t="s">
        <v>203</v>
      </c>
      <c r="C6" s="68" t="s">
        <v>204</v>
      </c>
      <c r="D6" s="52" t="s">
        <v>205</v>
      </c>
      <c r="E6" s="69" t="s">
        <v>206</v>
      </c>
    </row>
    <row r="7" customFormat="false" ht="39.75" hidden="false" customHeight="true" outlineLevel="0" collapsed="false">
      <c r="B7" s="67" t="s">
        <v>207</v>
      </c>
      <c r="C7" s="68" t="s">
        <v>208</v>
      </c>
      <c r="D7" s="52" t="s">
        <v>209</v>
      </c>
      <c r="E7" s="69" t="s">
        <v>210</v>
      </c>
    </row>
    <row r="8" customFormat="false" ht="39.75" hidden="false" customHeight="true" outlineLevel="0" collapsed="false">
      <c r="B8" s="67" t="s">
        <v>211</v>
      </c>
      <c r="C8" s="68" t="s">
        <v>212</v>
      </c>
      <c r="D8" s="52" t="s">
        <v>213</v>
      </c>
      <c r="E8" s="69" t="s">
        <v>214</v>
      </c>
    </row>
    <row r="9" customFormat="false" ht="39.75" hidden="false" customHeight="true" outlineLevel="0" collapsed="false">
      <c r="B9" s="67" t="s">
        <v>215</v>
      </c>
      <c r="C9" s="68" t="s">
        <v>216</v>
      </c>
      <c r="D9" s="52" t="s">
        <v>217</v>
      </c>
      <c r="E9" s="69" t="s">
        <v>218</v>
      </c>
    </row>
    <row r="10" customFormat="false" ht="39.75" hidden="false" customHeight="true" outlineLevel="0" collapsed="false">
      <c r="B10" s="67" t="s">
        <v>219</v>
      </c>
      <c r="C10" s="68" t="s">
        <v>220</v>
      </c>
      <c r="D10" s="52" t="s">
        <v>221</v>
      </c>
      <c r="E10" s="69" t="s">
        <v>222</v>
      </c>
    </row>
    <row r="11" customFormat="false" ht="39.75" hidden="false" customHeight="true" outlineLevel="0" collapsed="false">
      <c r="B11" s="67" t="s">
        <v>223</v>
      </c>
      <c r="C11" s="68" t="s">
        <v>224</v>
      </c>
      <c r="D11" s="52" t="s">
        <v>225</v>
      </c>
      <c r="E11" s="69" t="s">
        <v>222</v>
      </c>
    </row>
    <row r="12" customFormat="false" ht="39.75" hidden="false" customHeight="true" outlineLevel="0" collapsed="false">
      <c r="B12" s="67" t="s">
        <v>226</v>
      </c>
      <c r="C12" s="68" t="s">
        <v>227</v>
      </c>
      <c r="D12" s="52" t="s">
        <v>228</v>
      </c>
      <c r="E12" s="69" t="s">
        <v>229</v>
      </c>
    </row>
    <row r="13" customFormat="false" ht="39.75" hidden="false" customHeight="true" outlineLevel="0" collapsed="false">
      <c r="B13" s="67" t="s">
        <v>230</v>
      </c>
      <c r="C13" s="68" t="s">
        <v>231</v>
      </c>
      <c r="D13" s="52" t="s">
        <v>232</v>
      </c>
      <c r="E13" s="69" t="s">
        <v>233</v>
      </c>
    </row>
    <row r="14" customFormat="false" ht="39.75" hidden="false" customHeight="true" outlineLevel="0" collapsed="false">
      <c r="B14" s="67" t="s">
        <v>234</v>
      </c>
      <c r="C14" s="68" t="s">
        <v>235</v>
      </c>
      <c r="D14" s="52" t="s">
        <v>236</v>
      </c>
      <c r="E14" s="69" t="s">
        <v>237</v>
      </c>
    </row>
    <row r="15" customFormat="false" ht="39.75" hidden="false" customHeight="true" outlineLevel="0" collapsed="false">
      <c r="B15" s="67" t="s">
        <v>238</v>
      </c>
      <c r="C15" s="68" t="s">
        <v>239</v>
      </c>
      <c r="D15" s="52" t="s">
        <v>240</v>
      </c>
      <c r="E15" s="69" t="s">
        <v>241</v>
      </c>
    </row>
    <row r="16" customFormat="false" ht="39.75" hidden="false" customHeight="true" outlineLevel="0" collapsed="false">
      <c r="B16" s="67" t="s">
        <v>242</v>
      </c>
      <c r="C16" s="68" t="s">
        <v>243</v>
      </c>
      <c r="D16" s="52" t="s">
        <v>244</v>
      </c>
      <c r="E16" s="69" t="s">
        <v>245</v>
      </c>
    </row>
    <row r="17" customFormat="false" ht="39.75" hidden="false" customHeight="true" outlineLevel="0" collapsed="false">
      <c r="B17" s="67" t="s">
        <v>246</v>
      </c>
      <c r="C17" s="68" t="s">
        <v>247</v>
      </c>
      <c r="D17" s="52" t="s">
        <v>248</v>
      </c>
      <c r="E17" s="69" t="s">
        <v>249</v>
      </c>
    </row>
    <row r="19" customFormat="false" ht="15" hidden="false" customHeight="true" outlineLevel="0" collapsed="false">
      <c r="B19" s="4" t="s">
        <v>250</v>
      </c>
      <c r="C19" s="4"/>
      <c r="D19" s="4"/>
      <c r="E19" s="4"/>
    </row>
    <row r="20" customFormat="false" ht="42" hidden="false" customHeight="true" outlineLevel="0" collapsed="false">
      <c r="B20" s="70" t="s">
        <v>251</v>
      </c>
      <c r="C20" s="70"/>
      <c r="D20" s="70"/>
      <c r="E20" s="70"/>
      <c r="F20" s="70"/>
    </row>
    <row r="21" customFormat="false" ht="15" hidden="false" customHeight="true" outlineLevel="0" collapsed="false">
      <c r="B21" s="70"/>
      <c r="C21" s="70"/>
      <c r="D21" s="70"/>
      <c r="E21" s="70"/>
      <c r="F21" s="70"/>
    </row>
  </sheetData>
  <mergeCells count="2">
    <mergeCell ref="B3:F3"/>
    <mergeCell ref="B20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2026-07-23T19:55:52Z</dcterms:created>
  <dc:creator>openpyxl</dc:creator>
  <dc:description/>
  <dc:language>en-US</dc:language>
  <cp:lastModifiedBy/>
  <dcterms:modified xsi:type="dcterms:W3CDTF">2026-07-23T19:58:54Z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